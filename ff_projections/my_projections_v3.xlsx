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RI" sheetId="2" state="visible" r:id="rId2"/>
    <sheet xmlns:r="http://schemas.openxmlformats.org/officeDocument/2006/relationships" name="ATL" sheetId="3" state="visible" r:id="rId3"/>
    <sheet xmlns:r="http://schemas.openxmlformats.org/officeDocument/2006/relationships" name="BAL" sheetId="4" state="visible" r:id="rId4"/>
    <sheet xmlns:r="http://schemas.openxmlformats.org/officeDocument/2006/relationships" name="BUF" sheetId="5" state="visible" r:id="rId5"/>
    <sheet xmlns:r="http://schemas.openxmlformats.org/officeDocument/2006/relationships" name="CAR" sheetId="6" state="visible" r:id="rId6"/>
    <sheet xmlns:r="http://schemas.openxmlformats.org/officeDocument/2006/relationships" name="CHI" sheetId="7" state="visible" r:id="rId7"/>
    <sheet xmlns:r="http://schemas.openxmlformats.org/officeDocument/2006/relationships" name="CIN" sheetId="8" state="visible" r:id="rId8"/>
    <sheet xmlns:r="http://schemas.openxmlformats.org/officeDocument/2006/relationships" name="CLE" sheetId="9" state="visible" r:id="rId9"/>
    <sheet xmlns:r="http://schemas.openxmlformats.org/officeDocument/2006/relationships" name="DAL" sheetId="10" state="visible" r:id="rId10"/>
    <sheet xmlns:r="http://schemas.openxmlformats.org/officeDocument/2006/relationships" name="DEN" sheetId="11" state="visible" r:id="rId11"/>
    <sheet xmlns:r="http://schemas.openxmlformats.org/officeDocument/2006/relationships" name="DET" sheetId="12" state="visible" r:id="rId12"/>
    <sheet xmlns:r="http://schemas.openxmlformats.org/officeDocument/2006/relationships" name="GB" sheetId="13" state="visible" r:id="rId13"/>
    <sheet xmlns:r="http://schemas.openxmlformats.org/officeDocument/2006/relationships" name="HOU" sheetId="14" state="visible" r:id="rId14"/>
    <sheet xmlns:r="http://schemas.openxmlformats.org/officeDocument/2006/relationships" name="IND" sheetId="15" state="visible" r:id="rId15"/>
    <sheet xmlns:r="http://schemas.openxmlformats.org/officeDocument/2006/relationships" name="JAC" sheetId="16" state="visible" r:id="rId16"/>
    <sheet xmlns:r="http://schemas.openxmlformats.org/officeDocument/2006/relationships" name="KC" sheetId="17" state="visible" r:id="rId17"/>
    <sheet xmlns:r="http://schemas.openxmlformats.org/officeDocument/2006/relationships" name="LAC" sheetId="18" state="visible" r:id="rId18"/>
    <sheet xmlns:r="http://schemas.openxmlformats.org/officeDocument/2006/relationships" name="LAR" sheetId="19" state="visible" r:id="rId19"/>
    <sheet xmlns:r="http://schemas.openxmlformats.org/officeDocument/2006/relationships" name="LV" sheetId="20" state="visible" r:id="rId20"/>
    <sheet xmlns:r="http://schemas.openxmlformats.org/officeDocument/2006/relationships" name="MIA" sheetId="21" state="visible" r:id="rId21"/>
    <sheet xmlns:r="http://schemas.openxmlformats.org/officeDocument/2006/relationships" name="MIN" sheetId="22" state="visible" r:id="rId22"/>
    <sheet xmlns:r="http://schemas.openxmlformats.org/officeDocument/2006/relationships" name="NE" sheetId="23" state="visible" r:id="rId23"/>
    <sheet xmlns:r="http://schemas.openxmlformats.org/officeDocument/2006/relationships" name="NO" sheetId="24" state="visible" r:id="rId24"/>
    <sheet xmlns:r="http://schemas.openxmlformats.org/officeDocument/2006/relationships" name="NYG" sheetId="25" state="visible" r:id="rId25"/>
    <sheet xmlns:r="http://schemas.openxmlformats.org/officeDocument/2006/relationships" name="NYJ" sheetId="26" state="visible" r:id="rId26"/>
    <sheet xmlns:r="http://schemas.openxmlformats.org/officeDocument/2006/relationships" name="PHI" sheetId="27" state="visible" r:id="rId27"/>
    <sheet xmlns:r="http://schemas.openxmlformats.org/officeDocument/2006/relationships" name="PIT" sheetId="28" state="visible" r:id="rId28"/>
    <sheet xmlns:r="http://schemas.openxmlformats.org/officeDocument/2006/relationships" name="SEA" sheetId="29" state="visible" r:id="rId29"/>
    <sheet xmlns:r="http://schemas.openxmlformats.org/officeDocument/2006/relationships" name="SF" sheetId="30" state="visible" r:id="rId30"/>
    <sheet xmlns:r="http://schemas.openxmlformats.org/officeDocument/2006/relationships" name="TB" sheetId="31" state="visible" r:id="rId31"/>
    <sheet xmlns:r="http://schemas.openxmlformats.org/officeDocument/2006/relationships" name="TEN" sheetId="32" state="visible" r:id="rId32"/>
    <sheet xmlns:r="http://schemas.openxmlformats.org/officeDocument/2006/relationships" name="WAS" sheetId="33" state="visible" r:id="rId33"/>
    <sheet xmlns:r="http://schemas.openxmlformats.org/officeDocument/2006/relationships" name="Setting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18">
    <font>
      <name val="Calibri"/>
      <family val="2"/>
      <color theme="1"/>
      <sz val="11"/>
      <scheme val="minor"/>
    </font>
    <font>
      <b val="1"/>
      <color rgb="002F4F6F"/>
      <sz val="18"/>
    </font>
    <font>
      <b val="1"/>
      <color rgb="002F4F6F"/>
      <sz val="12"/>
    </font>
    <font>
      <sz val="10"/>
    </font>
    <font>
      <b val="1"/>
      <color rgb="002F4F6F"/>
      <sz val="15"/>
    </font>
    <font>
      <b val="1"/>
    </font>
    <font>
      <color rgb="00666666"/>
      <sz val="9"/>
    </font>
    <font>
      <b val="1"/>
      <color rgb="00FFFFFF"/>
      <sz val="8"/>
    </font>
    <font>
      <b val="1"/>
      <color rgb="007A6A55"/>
      <sz val="9"/>
    </font>
    <font>
      <color rgb="007A6A55"/>
      <sz val="9"/>
    </font>
    <font>
      <color rgb="00A0522D"/>
      <sz val="9"/>
    </font>
    <font>
      <b val="1"/>
      <sz val="9"/>
    </font>
    <font>
      <color rgb="00666666"/>
      <sz val="8"/>
    </font>
    <font>
      <color rgb="007A6A55"/>
      <sz val="8"/>
    </font>
    <font>
      <color rgb="00B22222"/>
      <sz val="8"/>
    </font>
    <font>
      <color rgb="00888888"/>
      <sz val="9"/>
    </font>
    <font>
      <i val="1"/>
      <color rgb="00888888"/>
      <sz val="9"/>
    </font>
    <font>
      <b val="1"/>
      <color rgb="002F4F6F"/>
      <sz val="14"/>
    </font>
  </fonts>
  <fills count="9">
    <fill>
      <patternFill/>
    </fill>
    <fill>
      <patternFill patternType="gray125"/>
    </fill>
    <fill>
      <patternFill patternType="solid">
        <fgColor rgb="008EA9C1"/>
      </patternFill>
    </fill>
    <fill>
      <patternFill patternType="solid">
        <fgColor rgb="00DCE9F7"/>
      </patternFill>
    </fill>
    <fill>
      <patternFill patternType="solid">
        <fgColor rgb="00F2F2F2"/>
      </patternFill>
    </fill>
    <fill>
      <patternFill patternType="solid">
        <fgColor rgb="00FFF6E5"/>
      </patternFill>
    </fill>
    <fill>
      <patternFill patternType="solid">
        <fgColor rgb="002F4F6F"/>
      </patternFill>
    </fill>
    <fill>
      <patternFill patternType="solid">
        <fgColor rgb="00E8EEF4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2" borderId="1" applyAlignment="1" pivotButton="0" quotePrefix="0" xfId="0">
      <alignment horizontal="center" wrapText="1"/>
    </xf>
    <xf numFmtId="1" fontId="5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1" fontId="0" fillId="4" borderId="1" applyAlignment="1" pivotButton="0" quotePrefix="0" xfId="0">
      <alignment horizontal="center"/>
    </xf>
    <xf numFmtId="1" fontId="9" fillId="5" borderId="1" applyAlignment="1" pivotButton="0" quotePrefix="0" xfId="0">
      <alignment horizontal="center"/>
    </xf>
    <xf numFmtId="164" fontId="9" fillId="5" borderId="1" applyAlignment="1" pivotButton="0" quotePrefix="0" xfId="0">
      <alignment horizontal="center"/>
    </xf>
    <xf numFmtId="165" fontId="9" fillId="5" borderId="1" applyAlignment="1" pivotButton="0" quotePrefix="0" xfId="0">
      <alignment horizontal="center"/>
    </xf>
    <xf numFmtId="2" fontId="9" fillId="5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0" fontId="10" fillId="0" borderId="0" pivotButton="0" quotePrefix="0" xfId="0"/>
    <xf numFmtId="0" fontId="7" fillId="6" borderId="1" applyAlignment="1" pivotButton="0" quotePrefix="0" xfId="0">
      <alignment horizontal="center" wrapText="1"/>
    </xf>
    <xf numFmtId="0" fontId="1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2" fillId="0" borderId="1" pivotButton="0" quotePrefix="0" xfId="0"/>
    <xf numFmtId="1" fontId="13" fillId="5" borderId="1" pivotButton="0" quotePrefix="0" xfId="0"/>
    <xf numFmtId="9" fontId="13" fillId="5" borderId="1" pivotButton="0" quotePrefix="0" xfId="0"/>
    <xf numFmtId="2" fontId="13" fillId="5" borderId="1" pivotButton="0" quotePrefix="0" xfId="0"/>
    <xf numFmtId="1" fontId="0" fillId="3" borderId="1" pivotButton="0" quotePrefix="0" xfId="0"/>
    <xf numFmtId="165" fontId="0" fillId="3" borderId="1" pivotButton="0" quotePrefix="0" xfId="0"/>
    <xf numFmtId="2" fontId="0" fillId="3" borderId="1" pivotButton="0" quotePrefix="0" xfId="0"/>
    <xf numFmtId="1" fontId="0" fillId="4" borderId="1" pivotButton="0" quotePrefix="0" xfId="0"/>
    <xf numFmtId="164" fontId="0" fillId="4" borderId="1" pivotButton="0" quotePrefix="0" xfId="0"/>
    <xf numFmtId="164" fontId="5" fillId="4" borderId="1" pivotButton="0" quotePrefix="0" xfId="0"/>
    <xf numFmtId="0" fontId="11" fillId="7" borderId="1" pivotButton="0" quotePrefix="0" xfId="0"/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0" fontId="14" fillId="7" borderId="1" pivotButton="0" quotePrefix="0" xfId="0"/>
    <xf numFmtId="0" fontId="15" fillId="8" borderId="1" pivotButton="0" quotePrefix="0" xfId="0"/>
    <xf numFmtId="0" fontId="16" fillId="8" borderId="1" pivotButton="0" quotePrefix="0" xfId="0"/>
    <xf numFmtId="0" fontId="0" fillId="8" borderId="1" pivotButton="0" quotePrefix="0" xfId="0"/>
    <xf numFmtId="0" fontId="0" fillId="3" borderId="1" pivotButton="0" quotePrefix="0" xfId="0"/>
    <xf numFmtId="0" fontId="14" fillId="0" borderId="1" pivotButton="0" quotePrefix="0" xfId="0"/>
    <xf numFmtId="0" fontId="12" fillId="7" borderId="1" pivotButton="0" quotePrefix="0" xfId="0"/>
    <xf numFmtId="165" fontId="5" fillId="0" borderId="1" pivotButton="0" quotePrefix="0" xfId="0"/>
    <xf numFmtId="1" fontId="5" fillId="4" borderId="1" pivotButton="0" quotePrefix="0" xfId="0"/>
    <xf numFmtId="1" fontId="6" fillId="0" borderId="0" pivotButton="0" quotePrefix="0" xfId="0"/>
    <xf numFmtId="164" fontId="6" fillId="0" borderId="0" pivotButton="0" quotePrefix="0" xfId="0"/>
    <xf numFmtId="0" fontId="17" fillId="0" borderId="0" pivotButton="0" quotePrefix="0" xfId="0"/>
    <xf numFmtId="1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1"/>
    <row r="2">
      <c r="B2" s="1" t="inlineStr">
        <is>
          <t>2026 PROJECTIONS - v3 (market share)</t>
        </is>
      </c>
    </row>
    <row r="3"/>
    <row r="4">
      <c r="B4" s="2" t="inlineStr">
        <is>
          <t>How it works</t>
        </is>
      </c>
    </row>
    <row r="5">
      <c r="B5" s="3" t="inlineStr">
        <is>
          <t>You set two kinds of number per player:</t>
        </is>
      </c>
    </row>
    <row r="6">
      <c r="B6" s="3" t="inlineStr">
        <is>
          <t xml:space="preserve">   SHARE   his % of the team's pass attempts / carries / targets / TDs</t>
        </is>
      </c>
    </row>
    <row r="7">
      <c r="B7" s="3" t="inlineStr">
        <is>
          <t xml:space="preserve">   RATE    his yards per carry, catch rate, yards per catch</t>
        </is>
      </c>
    </row>
    <row r="8">
      <c r="B8" s="3" t="inlineStr">
        <is>
          <t>Everything else is calculated. Nothing has to be balanced by hand.</t>
        </is>
      </c>
    </row>
    <row r="9"/>
    <row r="10">
      <c r="B10" s="2" t="inlineStr">
        <is>
          <t>The team block up top drives everything</t>
        </is>
      </c>
    </row>
    <row r="11">
      <c r="B11" s="3" t="inlineStr">
        <is>
          <t xml:space="preserve">   Team Plays x Pass Play %  -&gt; pass attempts and rush attempts</t>
        </is>
      </c>
    </row>
    <row r="12">
      <c r="B12" s="3" t="inlineStr">
        <is>
          <t xml:space="preserve">   Total TD x Rush TD %      -&gt; rushing TDs and passing TDs</t>
        </is>
      </c>
    </row>
    <row r="13">
      <c r="B13" s="3" t="inlineStr">
        <is>
          <t>Both are editable. Change the play total or the pass rate and every</t>
        </is>
      </c>
    </row>
    <row r="14">
      <c r="B14" s="3" t="inlineStr">
        <is>
          <t>player's opportunity moves with it.</t>
        </is>
      </c>
    </row>
    <row r="15"/>
    <row r="16">
      <c r="B16" s="2" t="inlineStr">
        <is>
          <t>Where the team numbers come from</t>
        </is>
      </c>
    </row>
    <row r="17">
      <c r="B17" s="3" t="inlineStr">
        <is>
          <t xml:space="preserve">   Total TD    Vegas implied points, from live betting lines.</t>
        </is>
      </c>
    </row>
    <row r="18">
      <c r="B18" s="3" t="inlineStr">
        <is>
          <t xml:space="preserve">               Cross-checked against Sharp Football Analysis:</t>
        </is>
      </c>
    </row>
    <row r="19">
      <c r="B19" s="3" t="inlineStr">
        <is>
          <t xml:space="preserve">               r=0.9997, average difference 0.04 pts/game.</t>
        </is>
      </c>
    </row>
    <row r="20">
      <c r="B20" s="3" t="inlineStr">
        <is>
          <t xml:space="preserve">   Plays,      3-yr team history regressed toward league average.</t>
        </is>
      </c>
    </row>
    <row r="21">
      <c r="B21" s="3" t="inlineStr">
        <is>
          <t xml:space="preserve">   Pass rate   Deliberately NOT from Vegas - yards-per-point varies</t>
        </is>
      </c>
    </row>
    <row r="22">
      <c r="B22" s="3" t="inlineStr">
        <is>
          <t xml:space="preserve">               too much between teams to project yardage from points.</t>
        </is>
      </c>
    </row>
    <row r="23">
      <c r="B23" s="3" t="inlineStr">
        <is>
          <t xml:space="preserve">   Rush TD %   that team's own 3-yr split (league average 38%).</t>
        </is>
      </c>
    </row>
    <row r="24"/>
    <row r="25">
      <c r="B25" s="2" t="inlineStr">
        <is>
          <t>Yards are a guideline, not a cap</t>
        </is>
      </c>
    </row>
    <row r="26">
      <c r="B26" s="3" t="inlineStr">
        <is>
          <t>The ~Pass Yds / ~Rush Yds / ~Rec Yds figures are historical</t>
        </is>
      </c>
    </row>
    <row r="27">
      <c r="B27" s="3" t="inlineStr">
        <is>
          <t>reference points. Your totals do NOT have to match them - the DIFF</t>
        </is>
      </c>
    </row>
    <row r="28">
      <c r="B28" s="3" t="inlineStr">
        <is>
          <t>row flags a gap over ~8% so you can decide whether you meant it.</t>
        </is>
      </c>
    </row>
    <row r="29">
      <c r="B29" s="3" t="inlineStr"/>
    </row>
    <row r="30">
      <c r="B30" s="3" t="inlineStr">
        <is>
          <t>Passing yards are built bottom-up: a QB's passing yards are his</t>
        </is>
      </c>
    </row>
    <row r="31">
      <c r="B31" s="3" t="inlineStr">
        <is>
          <t>share of what his receivers actually catch. That's why there's no</t>
        </is>
      </c>
    </row>
    <row r="32">
      <c r="B32" s="3" t="inlineStr">
        <is>
          <t>Y/A input for the QB - it would over-determine the answer.</t>
        </is>
      </c>
    </row>
    <row r="33"/>
    <row r="34">
      <c r="B34" s="2" t="inlineStr">
        <is>
          <t>TD share is separate from volume share, on purpose</t>
        </is>
      </c>
    </row>
    <row r="35">
      <c r="B35" s="3" t="inlineStr">
        <is>
          <t>A goal-line back can own 35% of a team's rushing TDs on 8% of its</t>
        </is>
      </c>
    </row>
    <row r="36">
      <c r="B36" s="3" t="inlineStr">
        <is>
          <t>carries. A slot receiver can be the reverse. Rush TD % and Rec TD %</t>
        </is>
      </c>
    </row>
    <row r="37">
      <c r="B37" s="3" t="inlineStr">
        <is>
          <t>are their own inputs, seeded from each player's own 3-yr TD share.</t>
        </is>
      </c>
    </row>
    <row r="38"/>
    <row r="39">
      <c r="B39" s="2" t="inlineStr">
        <is>
          <t>Reading the bottom rows</t>
        </is>
      </c>
    </row>
    <row r="40">
      <c r="B40" s="3" t="inlineStr">
        <is>
          <t xml:space="preserve">   YOUR TOTAL   what your inputs add up to</t>
        </is>
      </c>
    </row>
    <row r="41">
      <c r="B41" s="3" t="inlineStr">
        <is>
          <t xml:space="preserve">   TEAM         the team figure it's compared against</t>
        </is>
      </c>
    </row>
    <row r="42">
      <c r="B42" s="3" t="inlineStr">
        <is>
          <t xml:space="preserve">   DIFF         the gap  (green = close, amber = worth a look)</t>
        </is>
      </c>
    </row>
    <row r="43">
      <c r="B43" s="3" t="inlineStr">
        <is>
          <t>Share columns should total 100%: green at 100%, red over, amber under.</t>
        </is>
      </c>
    </row>
    <row r="44"/>
    <row r="45">
      <c r="B45" s="2" t="inlineStr">
        <is>
          <t>Rankings</t>
        </is>
      </c>
    </row>
    <row r="46">
      <c r="B46" s="3" t="inlineStr">
        <is>
          <t>Cross-team positional rankings would need formulas scanning all 32</t>
        </is>
      </c>
    </row>
    <row r="47">
      <c r="B47" s="3" t="inlineStr">
        <is>
          <t>tabs on every keystroke, which is what made earlier versions slow.</t>
        </is>
      </c>
    </row>
    <row r="48">
      <c r="B48" s="3" t="inlineStr">
        <is>
          <t>Run  python build_rankings.py  instead - it reads this file and</t>
        </is>
      </c>
    </row>
    <row r="49">
      <c r="B49" s="3" t="inlineStr">
        <is>
          <t>writes ranked QB/RB/WR/TE tabs with all three scoring formats.</t>
        </is>
      </c>
    </row>
    <row r="50"/>
    <row r="51">
      <c r="B51" s="2" t="inlineStr">
        <is>
          <t>Rebuilding without losing work</t>
        </is>
      </c>
    </row>
    <row r="52">
      <c r="B52" s="3" t="inlineStr">
        <is>
          <t xml:space="preserve">   python build_workbook_v3.py --merge    keeps every input you set</t>
        </is>
      </c>
    </row>
    <row r="53">
      <c r="B53" s="3" t="inlineStr">
        <is>
          <t>A plain rebuild refuses once Excel has saved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ARI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1025</v>
      </c>
      <c r="D4" s="10">
        <f>$C$4/$B$4</f>
        <v/>
      </c>
      <c r="E4" s="11" t="n">
        <v>0.595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1074</v>
      </c>
      <c r="M4" s="14" t="n">
        <v>63.1765</v>
      </c>
      <c r="N4" s="15" t="n">
        <v>0.6592</v>
      </c>
      <c r="O4" s="13" t="n">
        <v>649</v>
      </c>
      <c r="P4" s="13" t="n">
        <v>366</v>
      </c>
      <c r="Q4" s="16" t="n">
        <v>6.7088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32.7</v>
      </c>
      <c r="C7" s="11" t="n">
        <v>0.31</v>
      </c>
      <c r="D7" s="10">
        <f>$B$7*$C$7</f>
        <v/>
      </c>
      <c r="E7" s="10">
        <f>$B$7-$D$7</f>
        <v/>
      </c>
      <c r="F7" s="12" t="n">
        <v>3992</v>
      </c>
      <c r="G7" s="12" t="n">
        <v>1978</v>
      </c>
      <c r="H7" s="12">
        <f>$F$7</f>
        <v/>
      </c>
      <c r="L7" s="13" t="n">
        <v>4354</v>
      </c>
      <c r="M7" s="13" t="n">
        <v>1583</v>
      </c>
      <c r="N7" s="14" t="n">
        <v>29</v>
      </c>
      <c r="O7" s="14" t="n">
        <v>9</v>
      </c>
      <c r="P7" s="14" t="n">
        <v>38</v>
      </c>
      <c r="Q7" s="15" t="n">
        <v>0.2368421052631579</v>
      </c>
    </row>
    <row r="8"/>
    <row r="9">
      <c r="A9" s="5" t="inlineStr">
        <is>
          <t>NOTES</t>
        </is>
      </c>
      <c r="B9" s="18" t="inlineStr">
        <is>
          <t>30% of targets and 90% of carries left this roster.  NEW HC Mike LaFleur + OC Nathaniel Hackett. Pass rate projected to DROP 69.4% -&gt; 58%. Biggest scheme change in the league - revisit Pass Rate above.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Jacoby Brissett</t>
        </is>
      </c>
      <c r="C12" s="22" t="n">
        <v>1</v>
      </c>
      <c r="D12" s="22" t="inlineStr">
        <is>
          <t>33</t>
        </is>
      </c>
      <c r="E12" s="23" t="inlineStr">
        <is>
          <t>ACT</t>
        </is>
      </c>
      <c r="F12" s="24" t="inlineStr">
        <is>
          <t>ARI</t>
        </is>
      </c>
      <c r="G12" s="24" t="inlineStr">
        <is>
          <t>14</t>
        </is>
      </c>
      <c r="H12" s="25" t="n">
        <v>0.6889999999999999</v>
      </c>
      <c r="I12" s="25" t="n">
        <v>0.7473</v>
      </c>
      <c r="J12" s="25" t="n">
        <v>0.643</v>
      </c>
      <c r="K12" s="26" t="n">
        <v>6.67</v>
      </c>
      <c r="L12" s="25" t="n">
        <v>0.013</v>
      </c>
      <c r="M12" s="25" t="n">
        <v>0.0992</v>
      </c>
      <c r="N12" s="26" t="n">
        <v>4.67</v>
      </c>
      <c r="O12" s="25" t="n">
        <v>0.1042</v>
      </c>
      <c r="P12" s="25" t="n">
        <v>0.1111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0.85</v>
      </c>
      <c r="Y12" s="28" t="n">
        <v>0.645</v>
      </c>
      <c r="Z12" s="28" t="n">
        <v>0.013</v>
      </c>
      <c r="AA12" s="28" t="n">
        <v>0.0727</v>
      </c>
      <c r="AB12" s="29" t="n">
        <v>4.66</v>
      </c>
      <c r="AC12" s="28" t="n">
        <v>0.11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Carson Beck</t>
        </is>
      </c>
      <c r="C13" s="35" t="n">
        <v>2</v>
      </c>
      <c r="D13" s="35" t="inlineStr">
        <is>
          <t>23</t>
        </is>
      </c>
      <c r="E13" s="36" t="inlineStr">
        <is>
          <t>QUESTIONABLE</t>
        </is>
      </c>
      <c r="F13" s="24" t="inlineStr"/>
      <c r="G13" s="24" t="inlineStr"/>
      <c r="H13" s="25" t="n"/>
      <c r="I13" s="25" t="n"/>
      <c r="J13" s="25" t="n"/>
      <c r="K13" s="26" t="n"/>
      <c r="L13" s="25" t="n"/>
      <c r="M13" s="25" t="n"/>
      <c r="N13" s="26" t="n"/>
      <c r="O13" s="25" t="n"/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0.145</v>
      </c>
      <c r="Y13" s="28" t="n">
        <v>0.64</v>
      </c>
      <c r="Z13" s="28" t="n">
        <v>0.022</v>
      </c>
      <c r="AA13" s="28" t="n">
        <v>0.012</v>
      </c>
      <c r="AB13" s="29" t="n">
        <v>4.8</v>
      </c>
      <c r="AC13" s="28" t="n"/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Gardner Minshew</t>
        </is>
      </c>
      <c r="C14" s="22" t="n">
        <v>3</v>
      </c>
      <c r="D14" s="22" t="inlineStr">
        <is>
          <t>30</t>
        </is>
      </c>
      <c r="E14" s="23" t="inlineStr">
        <is>
          <t>ACT</t>
        </is>
      </c>
      <c r="F14" s="24" t="inlineStr">
        <is>
          <t>KC</t>
        </is>
      </c>
      <c r="G14" s="24" t="inlineStr">
        <is>
          <t>4</t>
        </is>
      </c>
      <c r="H14" s="25" t="n">
        <v>0.523</v>
      </c>
      <c r="I14" s="25" t="n">
        <v>0.0223</v>
      </c>
      <c r="J14" s="25" t="n">
        <v>0.642</v>
      </c>
      <c r="K14" s="26" t="n">
        <v>6.67</v>
      </c>
      <c r="L14" s="25" t="n">
        <v>0.025</v>
      </c>
      <c r="M14" s="25" t="n">
        <v>0.0024</v>
      </c>
      <c r="N14" s="26" t="n">
        <v>4.35</v>
      </c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0.005</v>
      </c>
      <c r="Y14" s="28" t="n">
        <v>0.64</v>
      </c>
      <c r="Z14" s="28" t="n">
        <v>0.025</v>
      </c>
      <c r="AA14" s="28" t="n">
        <v>0</v>
      </c>
      <c r="AB14" s="29" t="n">
        <v>4.35</v>
      </c>
      <c r="AC14" s="28" t="n">
        <v>0</v>
      </c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Jeremiyah Love</t>
        </is>
      </c>
      <c r="C16" s="22" t="n">
        <v>1</v>
      </c>
      <c r="D16" s="22" t="inlineStr">
        <is>
          <t>21</t>
        </is>
      </c>
      <c r="E16" s="41" t="inlineStr">
        <is>
          <t>QUESTIONABLE</t>
        </is>
      </c>
      <c r="F16" s="24" t="inlineStr"/>
      <c r="G16" s="24" t="inlineStr"/>
      <c r="H16" s="25" t="n"/>
      <c r="I16" s="25" t="n"/>
      <c r="J16" s="25" t="n"/>
      <c r="K16" s="26" t="n"/>
      <c r="L16" s="25" t="n"/>
      <c r="M16" s="25" t="n"/>
      <c r="N16" s="26" t="n"/>
      <c r="O16" s="25" t="n"/>
      <c r="P16" s="25" t="n"/>
      <c r="Q16" s="25" t="n"/>
      <c r="R16" s="25" t="n"/>
      <c r="S16" s="25" t="n"/>
      <c r="T16" s="26" t="n"/>
      <c r="U16" s="25" t="n"/>
      <c r="V16" s="25" t="n"/>
      <c r="W16" s="27" t="n">
        <v>17</v>
      </c>
      <c r="X16" s="28" t="n"/>
      <c r="Y16" s="28" t="n"/>
      <c r="Z16" s="28" t="n"/>
      <c r="AA16" s="28" t="n">
        <v>0.49</v>
      </c>
      <c r="AB16" s="29" t="n">
        <v>4.65</v>
      </c>
      <c r="AC16" s="28" t="n">
        <v>0.44</v>
      </c>
      <c r="AD16" s="28" t="n">
        <v>0.13</v>
      </c>
      <c r="AE16" s="28" t="n">
        <v>0.79</v>
      </c>
      <c r="AF16" s="29" t="n">
        <v>6.5</v>
      </c>
      <c r="AG16" s="28" t="n">
        <v>0.08500000000000001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Tyler Allgeier</t>
        </is>
      </c>
      <c r="C17" s="35" t="n">
        <v>2</v>
      </c>
      <c r="D17" s="35" t="inlineStr">
        <is>
          <t>26</t>
        </is>
      </c>
      <c r="E17" s="42" t="inlineStr">
        <is>
          <t>ACT</t>
        </is>
      </c>
      <c r="F17" s="24" t="inlineStr">
        <is>
          <t>ATL</t>
        </is>
      </c>
      <c r="G17" s="24" t="inlineStr">
        <is>
          <t>17</t>
        </is>
      </c>
      <c r="H17" s="25" t="n">
        <v>0.29</v>
      </c>
      <c r="I17" s="25" t="n"/>
      <c r="J17" s="25" t="n"/>
      <c r="K17" s="26" t="n"/>
      <c r="L17" s="25" t="n"/>
      <c r="M17" s="25" t="n">
        <v>0.3082</v>
      </c>
      <c r="N17" s="26" t="n">
        <v>3.94</v>
      </c>
      <c r="O17" s="25" t="n">
        <v>0.4627</v>
      </c>
      <c r="P17" s="25" t="n">
        <v>0.4706</v>
      </c>
      <c r="Q17" s="25" t="n">
        <v>0.0241</v>
      </c>
      <c r="R17" s="25" t="n">
        <v>0.0308</v>
      </c>
      <c r="S17" s="25" t="n">
        <v>0.849</v>
      </c>
      <c r="T17" s="26" t="n">
        <v>7.6</v>
      </c>
      <c r="U17" s="25" t="n">
        <v>0.0179</v>
      </c>
      <c r="V17" s="25" t="n"/>
      <c r="W17" s="27" t="n">
        <v>17</v>
      </c>
      <c r="X17" s="28" t="n"/>
      <c r="Y17" s="28" t="n"/>
      <c r="Z17" s="28" t="n"/>
      <c r="AA17" s="28" t="n">
        <v>0.253</v>
      </c>
      <c r="AB17" s="29" t="n">
        <v>4.45</v>
      </c>
      <c r="AC17" s="28" t="n">
        <v>0.27</v>
      </c>
      <c r="AD17" s="28" t="n">
        <v>0.01</v>
      </c>
      <c r="AE17" s="28" t="n">
        <v>0.76</v>
      </c>
      <c r="AF17" s="29" t="n">
        <v>4.2</v>
      </c>
      <c r="AG17" s="28" t="n">
        <v>0.01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Zonovan Knight</t>
        </is>
      </c>
      <c r="C18" s="22" t="n">
        <v>3</v>
      </c>
      <c r="D18" s="22" t="inlineStr">
        <is>
          <t>25</t>
        </is>
      </c>
      <c r="E18" s="23" t="inlineStr">
        <is>
          <t>ACT</t>
        </is>
      </c>
      <c r="F18" s="24" t="inlineStr">
        <is>
          <t>ARI</t>
        </is>
      </c>
      <c r="G18" s="24" t="inlineStr">
        <is>
          <t>12</t>
        </is>
      </c>
      <c r="H18" s="25" t="n">
        <v>0.302</v>
      </c>
      <c r="I18" s="25" t="n"/>
      <c r="J18" s="25" t="n"/>
      <c r="K18" s="26" t="n"/>
      <c r="L18" s="25" t="n"/>
      <c r="M18" s="25" t="n">
        <v>0.2259</v>
      </c>
      <c r="N18" s="26" t="n">
        <v>3.28</v>
      </c>
      <c r="O18" s="25" t="n">
        <v>0.3333</v>
      </c>
      <c r="P18" s="25" t="n">
        <v>0.4444</v>
      </c>
      <c r="Q18" s="25" t="n"/>
      <c r="R18" s="25" t="n">
        <v>0.0502</v>
      </c>
      <c r="S18" s="25" t="n">
        <v>0.71</v>
      </c>
      <c r="T18" s="26" t="n">
        <v>7.27</v>
      </c>
      <c r="U18" s="25" t="n">
        <v>0.0625</v>
      </c>
      <c r="V18" s="25" t="n">
        <v>0.0345</v>
      </c>
      <c r="W18" s="27" t="n">
        <v>17</v>
      </c>
      <c r="X18" s="28" t="n"/>
      <c r="Y18" s="28" t="n"/>
      <c r="Z18" s="28" t="n"/>
      <c r="AA18" s="28" t="n">
        <v>0.051</v>
      </c>
      <c r="AB18" s="29" t="n">
        <v>3.75</v>
      </c>
      <c r="AC18" s="28" t="n">
        <v>0.021</v>
      </c>
      <c r="AD18" s="28" t="n">
        <v>0.0305</v>
      </c>
      <c r="AE18" s="28" t="n">
        <v>0.7</v>
      </c>
      <c r="AF18" s="29" t="n">
        <v>7.3</v>
      </c>
      <c r="AG18" s="28" t="n">
        <v>0.01</v>
      </c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Tavien Feaster</t>
        </is>
      </c>
      <c r="C19" s="35" t="n">
        <v>4</v>
      </c>
      <c r="D19" s="35" t="inlineStr">
        <is>
          <t>24</t>
        </is>
      </c>
      <c r="E19" s="42" t="inlineStr">
        <is>
          <t>ACT</t>
        </is>
      </c>
      <c r="F19" s="24" t="inlineStr"/>
      <c r="G19" s="24" t="inlineStr"/>
      <c r="H19" s="25" t="n"/>
      <c r="I19" s="25" t="n"/>
      <c r="J19" s="25" t="n"/>
      <c r="K19" s="26" t="n"/>
      <c r="L19" s="25" t="n"/>
      <c r="M19" s="25" t="n"/>
      <c r="N19" s="26" t="n"/>
      <c r="O19" s="25" t="n"/>
      <c r="P19" s="25" t="n"/>
      <c r="Q19" s="25" t="n"/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0.04</v>
      </c>
      <c r="AB19" s="29" t="n">
        <v>4.13</v>
      </c>
      <c r="AC19" s="28" t="n"/>
      <c r="AD19" s="28" t="n">
        <v>0.0104</v>
      </c>
      <c r="AE19" s="28" t="n">
        <v>0.75</v>
      </c>
      <c r="AF19" s="29" t="n">
        <v>7.13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40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Marvin Harrison</t>
        </is>
      </c>
      <c r="C23" s="35" t="n">
        <v>1</v>
      </c>
      <c r="D23" s="35" t="inlineStr">
        <is>
          <t>24</t>
        </is>
      </c>
      <c r="E23" s="42" t="inlineStr">
        <is>
          <t>ACT</t>
        </is>
      </c>
      <c r="F23" s="24" t="inlineStr">
        <is>
          <t>ARI</t>
        </is>
      </c>
      <c r="G23" s="24" t="inlineStr">
        <is>
          <t>12</t>
        </is>
      </c>
      <c r="H23" s="25" t="n">
        <v>0.74</v>
      </c>
      <c r="I23" s="25" t="n"/>
      <c r="J23" s="25" t="n"/>
      <c r="K23" s="26" t="n"/>
      <c r="L23" s="25" t="n"/>
      <c r="M23" s="25" t="n"/>
      <c r="N23" s="26" t="n"/>
      <c r="O23" s="25" t="n"/>
      <c r="P23" s="25" t="n"/>
      <c r="Q23" s="25" t="n">
        <v>0.2218</v>
      </c>
      <c r="R23" s="25" t="n">
        <v>0.1183</v>
      </c>
      <c r="S23" s="25" t="n">
        <v>0.549</v>
      </c>
      <c r="T23" s="26" t="n">
        <v>14.57</v>
      </c>
      <c r="U23" s="25" t="n">
        <v>0.09379999999999999</v>
      </c>
      <c r="V23" s="25" t="n">
        <v>0.1379</v>
      </c>
      <c r="W23" s="27" t="n">
        <v>17</v>
      </c>
      <c r="X23" s="28" t="n"/>
      <c r="Y23" s="28" t="n"/>
      <c r="Z23" s="28" t="n"/>
      <c r="AA23" s="28" t="n"/>
      <c r="AB23" s="29" t="n"/>
      <c r="AC23" s="28" t="n"/>
      <c r="AD23" s="28" t="n">
        <v>0.205</v>
      </c>
      <c r="AE23" s="28" t="n">
        <v>0.539</v>
      </c>
      <c r="AF23" s="29" t="n">
        <v>14.5</v>
      </c>
      <c r="AG23" s="28" t="n">
        <v>0.2238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Michael Wilson</t>
        </is>
      </c>
      <c r="C24" s="22" t="n">
        <v>2</v>
      </c>
      <c r="D24" s="22" t="inlineStr">
        <is>
          <t>26</t>
        </is>
      </c>
      <c r="E24" s="23" t="inlineStr">
        <is>
          <t>ACT</t>
        </is>
      </c>
      <c r="F24" s="24" t="inlineStr">
        <is>
          <t>ARI</t>
        </is>
      </c>
      <c r="G24" s="24" t="inlineStr">
        <is>
          <t>17</t>
        </is>
      </c>
      <c r="H24" s="25" t="n">
        <v>0.805</v>
      </c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>
        <v>0.1358</v>
      </c>
      <c r="R24" s="25" t="n">
        <v>0.2042</v>
      </c>
      <c r="S24" s="25" t="n">
        <v>0.638</v>
      </c>
      <c r="T24" s="26" t="n">
        <v>12.85</v>
      </c>
      <c r="U24" s="25" t="n">
        <v>0.1562</v>
      </c>
      <c r="V24" s="25" t="n">
        <v>0.2414</v>
      </c>
      <c r="W24" s="27" t="n">
        <v>17</v>
      </c>
      <c r="X24" s="28" t="n"/>
      <c r="Y24" s="28" t="n"/>
      <c r="Z24" s="28" t="n"/>
      <c r="AA24" s="28" t="n"/>
      <c r="AB24" s="29" t="n"/>
      <c r="AC24" s="28" t="n"/>
      <c r="AD24" s="28" t="n">
        <v>0.187</v>
      </c>
      <c r="AE24" s="28" t="n">
        <v>0.62</v>
      </c>
      <c r="AF24" s="29" t="n">
        <v>12.5</v>
      </c>
      <c r="AG24" s="28" t="n">
        <v>0.1917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Kendrick Bourne</t>
        </is>
      </c>
      <c r="C25" s="35" t="n">
        <v>3</v>
      </c>
      <c r="D25" s="35" t="inlineStr">
        <is>
          <t>31</t>
        </is>
      </c>
      <c r="E25" s="42" t="inlineStr">
        <is>
          <t>ACT</t>
        </is>
      </c>
      <c r="F25" s="24" t="inlineStr">
        <is>
          <t>SF</t>
        </is>
      </c>
      <c r="G25" s="24" t="inlineStr">
        <is>
          <t>16</t>
        </is>
      </c>
      <c r="H25" s="25" t="n">
        <v>0.604</v>
      </c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>
        <v>0.076</v>
      </c>
      <c r="R25" s="25" t="n">
        <v>0.0964</v>
      </c>
      <c r="S25" s="25" t="n">
        <v>0.706</v>
      </c>
      <c r="T25" s="26" t="n">
        <v>13.33</v>
      </c>
      <c r="U25" s="25" t="n">
        <v>0.0241</v>
      </c>
      <c r="V25" s="25" t="n"/>
      <c r="W25" s="27" t="n">
        <v>17</v>
      </c>
      <c r="X25" s="28" t="n"/>
      <c r="Y25" s="28" t="n"/>
      <c r="Z25" s="28" t="n"/>
      <c r="AA25" s="28" t="n"/>
      <c r="AB25" s="29" t="n"/>
      <c r="AC25" s="28" t="n"/>
      <c r="AD25" s="28" t="n">
        <v>0.066</v>
      </c>
      <c r="AE25" s="28" t="n">
        <v>0.65</v>
      </c>
      <c r="AF25" s="29" t="n">
        <v>12.37</v>
      </c>
      <c r="AG25" s="28" t="n">
        <v>0.1035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Reggie Virgil</t>
        </is>
      </c>
      <c r="C26" s="22" t="n">
        <v>4</v>
      </c>
      <c r="D26" s="22" t="inlineStr">
        <is>
          <t>22</t>
        </is>
      </c>
      <c r="E26" s="23" t="inlineStr">
        <is>
          <t>ACT</t>
        </is>
      </c>
      <c r="F26" s="24" t="inlineStr"/>
      <c r="G26" s="24" t="inlineStr"/>
      <c r="H26" s="25" t="n"/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/>
      <c r="R26" s="25" t="n"/>
      <c r="S26" s="25" t="n"/>
      <c r="T26" s="26" t="n"/>
      <c r="U26" s="25" t="n"/>
      <c r="V26" s="25" t="n"/>
      <c r="W26" s="27" t="n">
        <v>17</v>
      </c>
      <c r="X26" s="28" t="n"/>
      <c r="Y26" s="28" t="n"/>
      <c r="Z26" s="28" t="n"/>
      <c r="AA26" s="28" t="n"/>
      <c r="AB26" s="29" t="n"/>
      <c r="AC26" s="28" t="n"/>
      <c r="AD26" s="28" t="n">
        <v>0.015</v>
      </c>
      <c r="AE26" s="28" t="n">
        <v>0.48</v>
      </c>
      <c r="AF26" s="29" t="n">
        <v>12.84</v>
      </c>
      <c r="AG26" s="28" t="n"/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Jalen Brooks</t>
        </is>
      </c>
      <c r="C27" s="35" t="n">
        <v>5</v>
      </c>
      <c r="D27" s="35" t="inlineStr">
        <is>
          <t>26</t>
        </is>
      </c>
      <c r="E27" s="42" t="inlineStr">
        <is>
          <t>ACT</t>
        </is>
      </c>
      <c r="F27" s="24" t="inlineStr">
        <is>
          <t>ARI</t>
        </is>
      </c>
      <c r="G27" s="24" t="inlineStr">
        <is>
          <t>5</t>
        </is>
      </c>
      <c r="H27" s="25" t="n">
        <v>0.295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>
        <v>0.0482</v>
      </c>
      <c r="R27" s="25" t="n">
        <v>0.0097</v>
      </c>
      <c r="S27" s="25" t="n">
        <v>0.4</v>
      </c>
      <c r="T27" s="26" t="n">
        <v>14.75</v>
      </c>
      <c r="U27" s="25" t="n"/>
      <c r="V27" s="25" t="n"/>
      <c r="W27" s="27" t="n">
        <v>17</v>
      </c>
      <c r="X27" s="28" t="n"/>
      <c r="Y27" s="28" t="n"/>
      <c r="Z27" s="28" t="n"/>
      <c r="AA27" s="28" t="n"/>
      <c r="AB27" s="29" t="n"/>
      <c r="AC27" s="28" t="n"/>
      <c r="AD27" s="28" t="n"/>
      <c r="AE27" s="28" t="n"/>
      <c r="AF27" s="29" t="n"/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Simi Fehoko</t>
        </is>
      </c>
      <c r="C28" s="22" t="n">
        <v>6</v>
      </c>
      <c r="D28" s="22" t="inlineStr">
        <is>
          <t>28</t>
        </is>
      </c>
      <c r="E28" s="23" t="inlineStr">
        <is>
          <t>ACT</t>
        </is>
      </c>
      <c r="F28" s="24" t="inlineStr"/>
      <c r="G28" s="24" t="inlineStr"/>
      <c r="H28" s="25" t="n">
        <v>0.213</v>
      </c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>
        <v>0.0326</v>
      </c>
      <c r="R28" s="25" t="n"/>
      <c r="S28" s="25" t="n">
        <v>0.375</v>
      </c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/>
      <c r="AB28" s="29" t="n"/>
      <c r="AC28" s="28" t="n"/>
      <c r="AD28" s="28" t="n">
        <v>0.015</v>
      </c>
      <c r="AE28" s="28" t="n">
        <v>0.41</v>
      </c>
      <c r="AF28" s="29" t="n">
        <v>16.43</v>
      </c>
      <c r="AG28" s="28" t="n">
        <v>0.0374</v>
      </c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Devin Duvernay</t>
        </is>
      </c>
      <c r="C29" s="35" t="n">
        <v>7</v>
      </c>
      <c r="D29" s="35" t="inlineStr">
        <is>
          <t>28</t>
        </is>
      </c>
      <c r="E29" s="42" t="inlineStr">
        <is>
          <t>ACT</t>
        </is>
      </c>
      <c r="F29" s="24" t="inlineStr">
        <is>
          <t>CHI</t>
        </is>
      </c>
      <c r="G29" s="24" t="inlineStr">
        <is>
          <t>17</t>
        </is>
      </c>
      <c r="H29" s="25" t="n">
        <v>0.159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>
        <v>0.0307</v>
      </c>
      <c r="R29" s="25" t="n">
        <v>0.0094</v>
      </c>
      <c r="S29" s="25" t="n">
        <v>0.6879999999999999</v>
      </c>
      <c r="T29" s="26" t="n"/>
      <c r="U29" s="25" t="n">
        <v>0.0149</v>
      </c>
      <c r="V29" s="25" t="n"/>
      <c r="W29" s="27" t="n">
        <v>17</v>
      </c>
      <c r="X29" s="28" t="n"/>
      <c r="Y29" s="28" t="n"/>
      <c r="Z29" s="28" t="n"/>
      <c r="AA29" s="28" t="n"/>
      <c r="AB29" s="29" t="n"/>
      <c r="AC29" s="28" t="n"/>
      <c r="AD29" s="28" t="n">
        <v>0.004</v>
      </c>
      <c r="AE29" s="28" t="n">
        <v>0.45</v>
      </c>
      <c r="AF29" s="29" t="n">
        <v>7.24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40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Trey McBride</t>
        </is>
      </c>
      <c r="C32" s="22" t="n">
        <v>1</v>
      </c>
      <c r="D32" s="22" t="inlineStr">
        <is>
          <t>26</t>
        </is>
      </c>
      <c r="E32" s="23" t="inlineStr">
        <is>
          <t>ACT</t>
        </is>
      </c>
      <c r="F32" s="24" t="inlineStr">
        <is>
          <t>ARI</t>
        </is>
      </c>
      <c r="G32" s="24" t="inlineStr">
        <is>
          <t>17</t>
        </is>
      </c>
      <c r="H32" s="25" t="n">
        <v>0.864</v>
      </c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>
        <v>0.2811</v>
      </c>
      <c r="R32" s="25" t="n">
        <v>0.2739</v>
      </c>
      <c r="S32" s="25" t="n">
        <v>0.752</v>
      </c>
      <c r="T32" s="26" t="n">
        <v>10.05</v>
      </c>
      <c r="U32" s="25" t="n">
        <v>0.3333</v>
      </c>
      <c r="V32" s="25" t="n">
        <v>0.3793</v>
      </c>
      <c r="W32" s="27" t="n">
        <v>17</v>
      </c>
      <c r="X32" s="28" t="n"/>
      <c r="Y32" s="28" t="n"/>
      <c r="Z32" s="28" t="n"/>
      <c r="AA32" s="28" t="n"/>
      <c r="AB32" s="29" t="n"/>
      <c r="AC32" s="28" t="n"/>
      <c r="AD32" s="28" t="n">
        <v>0.251</v>
      </c>
      <c r="AE32" s="28" t="n">
        <v>0.7521</v>
      </c>
      <c r="AF32" s="29" t="n">
        <v>9.800000000000001</v>
      </c>
      <c r="AG32" s="28" t="n">
        <v>0.251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Elijah Higgins</t>
        </is>
      </c>
      <c r="C33" s="35" t="n">
        <v>2</v>
      </c>
      <c r="D33" s="35" t="inlineStr">
        <is>
          <t>25</t>
        </is>
      </c>
      <c r="E33" s="42" t="inlineStr">
        <is>
          <t>ACT</t>
        </is>
      </c>
      <c r="F33" s="24" t="inlineStr">
        <is>
          <t>ARI</t>
        </is>
      </c>
      <c r="G33" s="24" t="inlineStr">
        <is>
          <t>17</t>
        </is>
      </c>
      <c r="H33" s="25" t="n">
        <v>0.378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0.0459</v>
      </c>
      <c r="R33" s="25" t="n">
        <v>0.06</v>
      </c>
      <c r="S33" s="25" t="n">
        <v>0.8080000000000001</v>
      </c>
      <c r="T33" s="26" t="n">
        <v>9.789999999999999</v>
      </c>
      <c r="U33" s="25" t="n">
        <v>0.0417</v>
      </c>
      <c r="V33" s="25" t="n"/>
      <c r="W33" s="27" t="n">
        <v>17</v>
      </c>
      <c r="X33" s="28" t="n"/>
      <c r="Y33" s="28" t="n"/>
      <c r="Z33" s="28" t="n"/>
      <c r="AA33" s="28" t="n"/>
      <c r="AB33" s="29" t="n"/>
      <c r="AC33" s="28" t="n"/>
      <c r="AD33" s="28" t="n">
        <v>0.0497</v>
      </c>
      <c r="AE33" s="28" t="n">
        <v>0.8078</v>
      </c>
      <c r="AF33" s="29" t="n">
        <v>9.94</v>
      </c>
      <c r="AG33" s="28" t="n">
        <v>0.0747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Hunter Long</t>
        </is>
      </c>
      <c r="C34" s="22" t="n">
        <v>3</v>
      </c>
      <c r="D34" s="22" t="inlineStr">
        <is>
          <t>28</t>
        </is>
      </c>
      <c r="E34" s="23" t="inlineStr">
        <is>
          <t>ACT</t>
        </is>
      </c>
      <c r="F34" s="24" t="inlineStr">
        <is>
          <t>JAC</t>
        </is>
      </c>
      <c r="G34" s="24" t="inlineStr">
        <is>
          <t>9</t>
        </is>
      </c>
      <c r="H34" s="25" t="n">
        <v>0.331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0.0166</v>
      </c>
      <c r="R34" s="25" t="n">
        <v>0.0311</v>
      </c>
      <c r="S34" s="25" t="n">
        <v>0.706</v>
      </c>
      <c r="T34" s="26" t="n">
        <v>7.08</v>
      </c>
      <c r="U34" s="25" t="n">
        <v>0.0513</v>
      </c>
      <c r="V34" s="25" t="n">
        <v>0.06900000000000001</v>
      </c>
      <c r="W34" s="27" t="n">
        <v>17</v>
      </c>
      <c r="X34" s="28" t="n"/>
      <c r="Y34" s="28" t="n"/>
      <c r="Z34" s="28" t="n"/>
      <c r="AA34" s="28" t="n">
        <v>0.0024</v>
      </c>
      <c r="AB34" s="29" t="n"/>
      <c r="AC34" s="28" t="n"/>
      <c r="AD34" s="28" t="n">
        <v>0.0181</v>
      </c>
      <c r="AE34" s="28" t="n">
        <v>0.7441</v>
      </c>
      <c r="AF34" s="29" t="n">
        <v>7.08</v>
      </c>
      <c r="AG34" s="28" t="n">
        <v>0.0593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Tip Reiman</t>
        </is>
      </c>
      <c r="C35" s="35" t="n">
        <v>4</v>
      </c>
      <c r="D35" s="35" t="inlineStr">
        <is>
          <t>24</t>
        </is>
      </c>
      <c r="E35" s="36" t="inlineStr">
        <is>
          <t>PUP</t>
        </is>
      </c>
      <c r="F35" s="24" t="inlineStr">
        <is>
          <t>ARI</t>
        </is>
      </c>
      <c r="G35" s="24" t="inlineStr">
        <is>
          <t>4</t>
        </is>
      </c>
      <c r="H35" s="25" t="n">
        <v>0.386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>
        <v>0.0134</v>
      </c>
      <c r="R35" s="25" t="n">
        <v>0.0081</v>
      </c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/>
      <c r="AB35" s="29" t="n"/>
      <c r="AC35" s="28" t="n"/>
      <c r="AD35" s="28" t="n">
        <v>0.007</v>
      </c>
      <c r="AE35" s="28" t="n">
        <v>0.8</v>
      </c>
      <c r="AF35" s="29" t="n">
        <v>8.5</v>
      </c>
      <c r="AG35" s="28" t="n">
        <v>0</v>
      </c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ATL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1062</v>
      </c>
      <c r="D4" s="10">
        <f>$C$4/$B$4</f>
        <v/>
      </c>
      <c r="E4" s="11" t="n">
        <v>0.57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1048</v>
      </c>
      <c r="M4" s="14" t="n">
        <v>61.6471</v>
      </c>
      <c r="N4" s="15" t="n">
        <v>0.5448</v>
      </c>
      <c r="O4" s="13" t="n">
        <v>545</v>
      </c>
      <c r="P4" s="13" t="n">
        <v>477</v>
      </c>
      <c r="Q4" s="16" t="n">
        <v>6.7945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37.6</v>
      </c>
      <c r="C7" s="11" t="n">
        <v>0.47</v>
      </c>
      <c r="D7" s="10">
        <f>$B$7*$C$7</f>
        <v/>
      </c>
      <c r="E7" s="10">
        <f>$B$7-$D$7</f>
        <v/>
      </c>
      <c r="F7" s="12" t="n">
        <v>3893</v>
      </c>
      <c r="G7" s="12" t="n">
        <v>2108</v>
      </c>
      <c r="H7" s="12">
        <f>$F$7</f>
        <v/>
      </c>
      <c r="L7" s="13" t="n">
        <v>3703</v>
      </c>
      <c r="M7" s="13" t="n">
        <v>2138</v>
      </c>
      <c r="N7" s="14" t="n">
        <v>19</v>
      </c>
      <c r="O7" s="14" t="n">
        <v>17</v>
      </c>
      <c r="P7" s="14" t="n">
        <v>36</v>
      </c>
      <c r="Q7" s="15" t="n">
        <v>0.4722222222222222</v>
      </c>
    </row>
    <row r="8"/>
    <row r="9">
      <c r="A9" s="5" t="inlineStr">
        <is>
          <t>NOTES</t>
        </is>
      </c>
      <c r="B9" s="18" t="inlineStr">
        <is>
          <t>31% of targets and 34% of carries left this roster.  NEW HC Kevin Stefanski + OC Tommy Rees. Zone-heavy run game; little pass-rate change expected. Emphasis on Robinson touches.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Tua Tagovailoa</t>
        </is>
      </c>
      <c r="C12" s="22" t="n">
        <v>1</v>
      </c>
      <c r="D12" s="22" t="inlineStr">
        <is>
          <t>28</t>
        </is>
      </c>
      <c r="E12" s="23" t="inlineStr">
        <is>
          <t>ACT</t>
        </is>
      </c>
      <c r="F12" s="24" t="inlineStr">
        <is>
          <t>MIA</t>
        </is>
      </c>
      <c r="G12" s="24" t="inlineStr">
        <is>
          <t>14</t>
        </is>
      </c>
      <c r="H12" s="25" t="n">
        <v>0.959</v>
      </c>
      <c r="I12" s="25" t="n">
        <v>0.8017</v>
      </c>
      <c r="J12" s="25" t="n">
        <v>0.694</v>
      </c>
      <c r="K12" s="26" t="n">
        <v>7.32</v>
      </c>
      <c r="L12" s="25" t="n">
        <v>0.03</v>
      </c>
      <c r="M12" s="25" t="n">
        <v>0.0377</v>
      </c>
      <c r="N12" s="26" t="n">
        <v>3.08</v>
      </c>
      <c r="O12" s="25" t="n">
        <v>0.0303</v>
      </c>
      <c r="P12" s="25" t="n"/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0.51</v>
      </c>
      <c r="Y12" s="28" t="n">
        <v>0.6850000000000001</v>
      </c>
      <c r="Z12" s="28" t="n">
        <v>0.03</v>
      </c>
      <c r="AA12" s="28" t="n">
        <v>0.02</v>
      </c>
      <c r="AB12" s="29" t="n">
        <v>2.5</v>
      </c>
      <c r="AC12" s="28" t="n"/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Michael Penix</t>
        </is>
      </c>
      <c r="C13" s="35" t="n">
        <v>2</v>
      </c>
      <c r="D13" s="35" t="inlineStr">
        <is>
          <t>26</t>
        </is>
      </c>
      <c r="E13" s="36" t="inlineStr">
        <is>
          <t>QUESTIONABLE</t>
        </is>
      </c>
      <c r="F13" s="24" t="inlineStr">
        <is>
          <t>ATL</t>
        </is>
      </c>
      <c r="G13" s="24" t="inlineStr">
        <is>
          <t>9</t>
        </is>
      </c>
      <c r="H13" s="25" t="n">
        <v>0.832</v>
      </c>
      <c r="I13" s="25" t="n">
        <v>0.5064</v>
      </c>
      <c r="J13" s="25" t="n">
        <v>0.596</v>
      </c>
      <c r="K13" s="26" t="n">
        <v>7.23</v>
      </c>
      <c r="L13" s="25" t="n">
        <v>0.015</v>
      </c>
      <c r="M13" s="25" t="n">
        <v>0.0302</v>
      </c>
      <c r="N13" s="26" t="n"/>
      <c r="O13" s="25" t="n">
        <v>0.0448</v>
      </c>
      <c r="P13" s="25" t="n">
        <v>0.0588</v>
      </c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0.48</v>
      </c>
      <c r="Y13" s="28" t="n">
        <v>0.596</v>
      </c>
      <c r="Z13" s="28" t="n">
        <v>0.015</v>
      </c>
      <c r="AA13" s="28" t="n">
        <v>0.03</v>
      </c>
      <c r="AB13" s="29" t="n">
        <v>3.1</v>
      </c>
      <c r="AC13" s="28" t="n">
        <v>0.052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Cooper Rush</t>
        </is>
      </c>
      <c r="C14" s="22" t="n">
        <v>3</v>
      </c>
      <c r="D14" s="22" t="inlineStr">
        <is>
          <t>32</t>
        </is>
      </c>
      <c r="E14" s="23" t="inlineStr">
        <is>
          <t>ACT</t>
        </is>
      </c>
      <c r="F14" s="24" t="inlineStr">
        <is>
          <t>BAL</t>
        </is>
      </c>
      <c r="G14" s="24" t="inlineStr">
        <is>
          <t>4</t>
        </is>
      </c>
      <c r="H14" s="25" t="n">
        <v>0.492</v>
      </c>
      <c r="I14" s="25" t="n">
        <v>0.1232</v>
      </c>
      <c r="J14" s="25" t="n">
        <v>0.649</v>
      </c>
      <c r="K14" s="26" t="n">
        <v>5.94</v>
      </c>
      <c r="L14" s="25" t="n">
        <v>0.039</v>
      </c>
      <c r="M14" s="25" t="n">
        <v>0.002</v>
      </c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0.01</v>
      </c>
      <c r="Y14" s="28" t="n">
        <v>0.649</v>
      </c>
      <c r="Z14" s="28" t="n">
        <v>0.039</v>
      </c>
      <c r="AA14" s="28" t="n">
        <v>0.0057</v>
      </c>
      <c r="AB14" s="29" t="n">
        <v>1.5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Bijan Robinson</t>
        </is>
      </c>
      <c r="C16" s="22" t="n">
        <v>1</v>
      </c>
      <c r="D16" s="22" t="inlineStr">
        <is>
          <t>24</t>
        </is>
      </c>
      <c r="E16" s="23" t="inlineStr">
        <is>
          <t>ACT</t>
        </is>
      </c>
      <c r="F16" s="24" t="inlineStr">
        <is>
          <t>ATL</t>
        </is>
      </c>
      <c r="G16" s="24" t="inlineStr">
        <is>
          <t>17</t>
        </is>
      </c>
      <c r="H16" s="25" t="n">
        <v>0.753</v>
      </c>
      <c r="I16" s="25" t="n"/>
      <c r="J16" s="25" t="n"/>
      <c r="K16" s="26" t="n"/>
      <c r="L16" s="25" t="n"/>
      <c r="M16" s="25" t="n">
        <v>0.6185</v>
      </c>
      <c r="N16" s="26" t="n">
        <v>4.92</v>
      </c>
      <c r="O16" s="25" t="n">
        <v>0.4776</v>
      </c>
      <c r="P16" s="25" t="n">
        <v>0.4118</v>
      </c>
      <c r="Q16" s="25" t="n">
        <v>0.1336</v>
      </c>
      <c r="R16" s="25" t="n">
        <v>0.1985</v>
      </c>
      <c r="S16" s="25" t="n">
        <v>0.773</v>
      </c>
      <c r="T16" s="26" t="n">
        <v>8.99</v>
      </c>
      <c r="U16" s="25" t="n">
        <v>0.2143</v>
      </c>
      <c r="V16" s="25" t="n">
        <v>0.2105</v>
      </c>
      <c r="W16" s="27" t="n">
        <v>17</v>
      </c>
      <c r="X16" s="28" t="n"/>
      <c r="Y16" s="28" t="n"/>
      <c r="Z16" s="28" t="n"/>
      <c r="AA16" s="28" t="n">
        <v>0.528</v>
      </c>
      <c r="AB16" s="29" t="n">
        <v>4.85</v>
      </c>
      <c r="AC16" s="28" t="n">
        <v>0.485</v>
      </c>
      <c r="AD16" s="28" t="n">
        <v>0.18</v>
      </c>
      <c r="AE16" s="28" t="n">
        <v>0.77</v>
      </c>
      <c r="AF16" s="29" t="n">
        <v>8.779999999999999</v>
      </c>
      <c r="AG16" s="28" t="n">
        <v>0.1383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Brian Robinson</t>
        </is>
      </c>
      <c r="C17" s="35" t="n">
        <v>2</v>
      </c>
      <c r="D17" s="35" t="inlineStr">
        <is>
          <t>27</t>
        </is>
      </c>
      <c r="E17" s="42" t="inlineStr">
        <is>
          <t>ACT</t>
        </is>
      </c>
      <c r="F17" s="24" t="inlineStr">
        <is>
          <t>SF</t>
        </is>
      </c>
      <c r="G17" s="24" t="inlineStr">
        <is>
          <t>17</t>
        </is>
      </c>
      <c r="H17" s="25" t="n">
        <v>0.337</v>
      </c>
      <c r="I17" s="25" t="n"/>
      <c r="J17" s="25" t="n"/>
      <c r="K17" s="26" t="n"/>
      <c r="L17" s="25" t="n"/>
      <c r="M17" s="25" t="n">
        <v>0.1991</v>
      </c>
      <c r="N17" s="26" t="n">
        <v>4.28</v>
      </c>
      <c r="O17" s="25" t="n">
        <v>0.1075</v>
      </c>
      <c r="P17" s="25" t="n">
        <v>0.1333</v>
      </c>
      <c r="Q17" s="25" t="n">
        <v>0.0496</v>
      </c>
      <c r="R17" s="25" t="n">
        <v>0.0218</v>
      </c>
      <c r="S17" s="25" t="n">
        <v>0.8159999999999999</v>
      </c>
      <c r="T17" s="26" t="n">
        <v>8.9</v>
      </c>
      <c r="U17" s="25" t="n">
        <v>0.0482</v>
      </c>
      <c r="V17" s="25" t="n"/>
      <c r="W17" s="27" t="n">
        <v>17</v>
      </c>
      <c r="X17" s="28" t="n"/>
      <c r="Y17" s="28" t="n"/>
      <c r="Z17" s="28" t="n"/>
      <c r="AA17" s="28" t="n">
        <v>0.288</v>
      </c>
      <c r="AB17" s="29" t="n">
        <v>4.15</v>
      </c>
      <c r="AC17" s="28" t="n">
        <v>0.403</v>
      </c>
      <c r="AD17" s="28" t="n">
        <v>0.01</v>
      </c>
      <c r="AE17" s="28" t="n">
        <v>0.7349</v>
      </c>
      <c r="AF17" s="29" t="n">
        <v>8.619999999999999</v>
      </c>
      <c r="AG17" s="28" t="n">
        <v>0.1384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40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n"/>
      <c r="C19" s="34" t="n"/>
      <c r="D19" s="34" t="n"/>
      <c r="E19" s="34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40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Drake London</t>
        </is>
      </c>
      <c r="C23" s="35" t="n">
        <v>1</v>
      </c>
      <c r="D23" s="35" t="inlineStr">
        <is>
          <t>25</t>
        </is>
      </c>
      <c r="E23" s="42" t="inlineStr">
        <is>
          <t>ACT</t>
        </is>
      </c>
      <c r="F23" s="24" t="inlineStr">
        <is>
          <t>ATL</t>
        </is>
      </c>
      <c r="G23" s="24" t="inlineStr">
        <is>
          <t>12</t>
        </is>
      </c>
      <c r="H23" s="25" t="n">
        <v>0.885</v>
      </c>
      <c r="I23" s="25" t="n"/>
      <c r="J23" s="25" t="n"/>
      <c r="K23" s="26" t="n"/>
      <c r="L23" s="25" t="n"/>
      <c r="M23" s="25" t="n"/>
      <c r="N23" s="26" t="n"/>
      <c r="O23" s="25" t="n"/>
      <c r="P23" s="25" t="n"/>
      <c r="Q23" s="25" t="n">
        <v>0.2931</v>
      </c>
      <c r="R23" s="25" t="n">
        <v>0.2158</v>
      </c>
      <c r="S23" s="25" t="n">
        <v>0.621</v>
      </c>
      <c r="T23" s="26" t="n">
        <v>13.14</v>
      </c>
      <c r="U23" s="25" t="n">
        <v>0.2321</v>
      </c>
      <c r="V23" s="25" t="n">
        <v>0.3684</v>
      </c>
      <c r="W23" s="27" t="n">
        <v>17</v>
      </c>
      <c r="X23" s="28" t="n"/>
      <c r="Y23" s="28" t="n"/>
      <c r="Z23" s="28" t="n"/>
      <c r="AA23" s="28" t="n"/>
      <c r="AB23" s="29" t="n"/>
      <c r="AC23" s="28" t="n"/>
      <c r="AD23" s="28" t="n">
        <v>0.25</v>
      </c>
      <c r="AE23" s="28" t="n">
        <v>0.63</v>
      </c>
      <c r="AF23" s="29" t="n">
        <v>13.06</v>
      </c>
      <c r="AG23" s="28" t="n">
        <v>0.2772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Jahan Dotson</t>
        </is>
      </c>
      <c r="C24" s="22" t="n">
        <v>2</v>
      </c>
      <c r="D24" s="22" t="inlineStr">
        <is>
          <t>26</t>
        </is>
      </c>
      <c r="E24" s="23" t="inlineStr">
        <is>
          <t>ACT</t>
        </is>
      </c>
      <c r="F24" s="24" t="inlineStr">
        <is>
          <t>PHI</t>
        </is>
      </c>
      <c r="G24" s="24" t="inlineStr">
        <is>
          <t>17</t>
        </is>
      </c>
      <c r="H24" s="25" t="n">
        <v>0.624</v>
      </c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>
        <v>0.0789</v>
      </c>
      <c r="R24" s="25" t="n">
        <v>0.0776</v>
      </c>
      <c r="S24" s="25" t="n">
        <v>0.541</v>
      </c>
      <c r="T24" s="26" t="n">
        <v>12.8</v>
      </c>
      <c r="U24" s="25" t="n">
        <v>0.0556</v>
      </c>
      <c r="V24" s="25" t="n">
        <v>0.0385</v>
      </c>
      <c r="W24" s="27" t="n">
        <v>17</v>
      </c>
      <c r="X24" s="28" t="n"/>
      <c r="Y24" s="28" t="n"/>
      <c r="Z24" s="28" t="n"/>
      <c r="AA24" s="28" t="n"/>
      <c r="AB24" s="29" t="n"/>
      <c r="AC24" s="28" t="n"/>
      <c r="AD24" s="28" t="n">
        <v>0.09039999999999999</v>
      </c>
      <c r="AE24" s="28" t="n">
        <v>0.54</v>
      </c>
      <c r="AF24" s="29" t="n">
        <v>11.58</v>
      </c>
      <c r="AG24" s="28" t="n">
        <v>0.0624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Zachariah Branch</t>
        </is>
      </c>
      <c r="C25" s="35" t="n">
        <v>3</v>
      </c>
      <c r="D25" s="35" t="inlineStr">
        <is>
          <t>22</t>
        </is>
      </c>
      <c r="E25" s="42" t="inlineStr">
        <is>
          <t>ACT</t>
        </is>
      </c>
      <c r="F25" s="24" t="inlineStr"/>
      <c r="G25" s="24" t="inlineStr"/>
      <c r="H25" s="25" t="n"/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/>
      <c r="R25" s="25" t="n"/>
      <c r="S25" s="25" t="n"/>
      <c r="T25" s="26" t="n"/>
      <c r="U25" s="25" t="n"/>
      <c r="V25" s="25" t="n"/>
      <c r="W25" s="27" t="n">
        <v>17</v>
      </c>
      <c r="X25" s="28" t="n"/>
      <c r="Y25" s="28" t="n"/>
      <c r="Z25" s="28" t="n"/>
      <c r="AA25" s="28" t="n"/>
      <c r="AB25" s="29" t="n"/>
      <c r="AC25" s="28" t="n"/>
      <c r="AD25" s="28" t="n">
        <v>0.1337</v>
      </c>
      <c r="AE25" s="28" t="n">
        <v>0.66</v>
      </c>
      <c r="AF25" s="29" t="n">
        <v>12.84</v>
      </c>
      <c r="AG25" s="28" t="n"/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Olamide Zaccheaus</t>
        </is>
      </c>
      <c r="C26" s="22" t="n">
        <v>4</v>
      </c>
      <c r="D26" s="22" t="inlineStr">
        <is>
          <t>29</t>
        </is>
      </c>
      <c r="E26" s="23" t="inlineStr">
        <is>
          <t>ACT</t>
        </is>
      </c>
      <c r="F26" s="24" t="inlineStr">
        <is>
          <t>CHI</t>
        </is>
      </c>
      <c r="G26" s="24" t="inlineStr">
        <is>
          <t>16</t>
        </is>
      </c>
      <c r="H26" s="25" t="n">
        <v>0.475</v>
      </c>
      <c r="I26" s="25" t="n"/>
      <c r="J26" s="25" t="n"/>
      <c r="K26" s="26" t="n"/>
      <c r="L26" s="25" t="n"/>
      <c r="M26" s="25" t="n">
        <v>0.0081</v>
      </c>
      <c r="N26" s="26" t="n"/>
      <c r="O26" s="25" t="n"/>
      <c r="P26" s="25" t="n"/>
      <c r="Q26" s="25" t="n">
        <v>0.127</v>
      </c>
      <c r="R26" s="25" t="n">
        <v>0.1222</v>
      </c>
      <c r="S26" s="25" t="n">
        <v>0.611</v>
      </c>
      <c r="T26" s="26" t="n">
        <v>9.279999999999999</v>
      </c>
      <c r="U26" s="25" t="n">
        <v>0.1791</v>
      </c>
      <c r="V26" s="25" t="n">
        <v>0.07140000000000001</v>
      </c>
      <c r="W26" s="27" t="n">
        <v>17</v>
      </c>
      <c r="X26" s="28" t="n"/>
      <c r="Y26" s="28" t="n"/>
      <c r="Z26" s="28" t="n"/>
      <c r="AA26" s="28" t="n"/>
      <c r="AB26" s="29" t="n"/>
      <c r="AC26" s="28" t="n"/>
      <c r="AD26" s="28" t="n">
        <v>0.07000000000000001</v>
      </c>
      <c r="AE26" s="28" t="n">
        <v>0.6113</v>
      </c>
      <c r="AF26" s="29" t="n">
        <v>9.1</v>
      </c>
      <c r="AG26" s="28" t="n">
        <v>0.0696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Chris Blair</t>
        </is>
      </c>
      <c r="C27" s="35" t="n">
        <v>5</v>
      </c>
      <c r="D27" s="35" t="inlineStr">
        <is>
          <t>28</t>
        </is>
      </c>
      <c r="E27" s="42" t="inlineStr">
        <is>
          <t>ACT</t>
        </is>
      </c>
      <c r="F27" s="24" t="inlineStr"/>
      <c r="G27" s="24" t="inlineStr"/>
      <c r="H27" s="25" t="n">
        <v>0.11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>
        <v>0.0037</v>
      </c>
      <c r="R27" s="25" t="n"/>
      <c r="S27" s="25" t="n"/>
      <c r="T27" s="26" t="n"/>
      <c r="U27" s="25" t="n"/>
      <c r="V27" s="25" t="n"/>
      <c r="W27" s="27" t="n">
        <v>17</v>
      </c>
      <c r="X27" s="28" t="n"/>
      <c r="Y27" s="28" t="n"/>
      <c r="Z27" s="28" t="n"/>
      <c r="AA27" s="28" t="n"/>
      <c r="AB27" s="29" t="n"/>
      <c r="AC27" s="28" t="n"/>
      <c r="AD27" s="28" t="n"/>
      <c r="AE27" s="28" t="n"/>
      <c r="AF27" s="29" t="n"/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Malik Heath</t>
        </is>
      </c>
      <c r="C28" s="22" t="n">
        <v>6</v>
      </c>
      <c r="D28" s="22" t="inlineStr">
        <is>
          <t>25</t>
        </is>
      </c>
      <c r="E28" s="23" t="inlineStr">
        <is>
          <t>ACT</t>
        </is>
      </c>
      <c r="F28" s="24" t="inlineStr">
        <is>
          <t>GB</t>
        </is>
      </c>
      <c r="G28" s="24" t="inlineStr">
        <is>
          <t>11</t>
        </is>
      </c>
      <c r="H28" s="25" t="n">
        <v>0.277</v>
      </c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>
        <v>0.028</v>
      </c>
      <c r="R28" s="25" t="n">
        <v>0.0152</v>
      </c>
      <c r="S28" s="25" t="n">
        <v>0.625</v>
      </c>
      <c r="T28" s="26" t="n">
        <v>8.33</v>
      </c>
      <c r="U28" s="25" t="n"/>
      <c r="V28" s="25" t="n"/>
      <c r="W28" s="27" t="n">
        <v>17</v>
      </c>
      <c r="X28" s="28" t="n"/>
      <c r="Y28" s="28" t="n"/>
      <c r="Z28" s="28" t="n"/>
      <c r="AA28" s="28" t="n">
        <v>0.0022</v>
      </c>
      <c r="AB28" s="29" t="n"/>
      <c r="AC28" s="28" t="n"/>
      <c r="AD28" s="28" t="n">
        <v>0.0121</v>
      </c>
      <c r="AE28" s="28" t="n">
        <v>0.7783</v>
      </c>
      <c r="AF28" s="29" t="n">
        <v>8.33</v>
      </c>
      <c r="AG28" s="28" t="n">
        <v>0.0458</v>
      </c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Garrett Scantling</t>
        </is>
      </c>
      <c r="C29" s="35" t="n">
        <v>7</v>
      </c>
      <c r="D29" s="35" t="inlineStr"/>
      <c r="E29" s="42" t="inlineStr">
        <is>
          <t>ACT</t>
        </is>
      </c>
      <c r="F29" s="24" t="inlineStr"/>
      <c r="G29" s="24" t="inlineStr"/>
      <c r="H29" s="25" t="n"/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/>
      <c r="R29" s="25" t="n"/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0.0024</v>
      </c>
      <c r="AB29" s="29" t="n"/>
      <c r="AC29" s="28" t="n"/>
      <c r="AD29" s="28" t="n">
        <v>0.0063</v>
      </c>
      <c r="AE29" s="28" t="n">
        <v>0.65</v>
      </c>
      <c r="AF29" s="29" t="n">
        <v>12.84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40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Kyle Pitts</t>
        </is>
      </c>
      <c r="C32" s="22" t="n">
        <v>1</v>
      </c>
      <c r="D32" s="22" t="inlineStr">
        <is>
          <t>25</t>
        </is>
      </c>
      <c r="E32" s="23" t="inlineStr">
        <is>
          <t>ACT</t>
        </is>
      </c>
      <c r="F32" s="24" t="inlineStr">
        <is>
          <t>ATL</t>
        </is>
      </c>
      <c r="G32" s="24" t="inlineStr">
        <is>
          <t>17</t>
        </is>
      </c>
      <c r="H32" s="25" t="n">
        <v>0.755</v>
      </c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>
        <v>0.1373</v>
      </c>
      <c r="R32" s="25" t="n">
        <v>0.2274</v>
      </c>
      <c r="S32" s="25" t="n">
        <v>0.681</v>
      </c>
      <c r="T32" s="26" t="n">
        <v>11.63</v>
      </c>
      <c r="U32" s="25" t="n">
        <v>0.1964</v>
      </c>
      <c r="V32" s="25" t="n">
        <v>0.2632</v>
      </c>
      <c r="W32" s="27" t="n">
        <v>17</v>
      </c>
      <c r="X32" s="28" t="n"/>
      <c r="Y32" s="28" t="n"/>
      <c r="Z32" s="28" t="n"/>
      <c r="AA32" s="28" t="n"/>
      <c r="AB32" s="29" t="n"/>
      <c r="AC32" s="28" t="n"/>
      <c r="AD32" s="28" t="n">
        <v>0.1751</v>
      </c>
      <c r="AE32" s="28" t="n">
        <v>0.6812</v>
      </c>
      <c r="AF32" s="29" t="n">
        <v>10.8</v>
      </c>
      <c r="AG32" s="28" t="n">
        <v>0.186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Austin Hooper</t>
        </is>
      </c>
      <c r="C33" s="35" t="n">
        <v>2</v>
      </c>
      <c r="D33" s="35" t="inlineStr">
        <is>
          <t>31</t>
        </is>
      </c>
      <c r="E33" s="42" t="inlineStr">
        <is>
          <t>ACT</t>
        </is>
      </c>
      <c r="F33" s="24" t="inlineStr">
        <is>
          <t>NE</t>
        </is>
      </c>
      <c r="G33" s="24" t="inlineStr">
        <is>
          <t>16</t>
        </is>
      </c>
      <c r="H33" s="25" t="n">
        <v>0.512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0.118</v>
      </c>
      <c r="R33" s="25" t="n">
        <v>0.0539</v>
      </c>
      <c r="S33" s="25" t="n">
        <v>0.794</v>
      </c>
      <c r="T33" s="26" t="n">
        <v>11.27</v>
      </c>
      <c r="U33" s="25" t="n">
        <v>0.0769</v>
      </c>
      <c r="V33" s="25" t="n">
        <v>0.0645</v>
      </c>
      <c r="W33" s="27" t="n">
        <v>17</v>
      </c>
      <c r="X33" s="28" t="n"/>
      <c r="Y33" s="28" t="n"/>
      <c r="Z33" s="28" t="n"/>
      <c r="AA33" s="28" t="n"/>
      <c r="AB33" s="29" t="n"/>
      <c r="AC33" s="28" t="n"/>
      <c r="AD33" s="28" t="n">
        <v>0.052</v>
      </c>
      <c r="AE33" s="28" t="n">
        <v>0.7935</v>
      </c>
      <c r="AF33" s="29" t="n">
        <v>10.69</v>
      </c>
      <c r="AG33" s="28" t="n">
        <v>0.0866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Charlie Woerner</t>
        </is>
      </c>
      <c r="C34" s="22" t="n">
        <v>3</v>
      </c>
      <c r="D34" s="22" t="inlineStr">
        <is>
          <t>28</t>
        </is>
      </c>
      <c r="E34" s="23" t="inlineStr">
        <is>
          <t>ACT</t>
        </is>
      </c>
      <c r="F34" s="24" t="inlineStr">
        <is>
          <t>ATL</t>
        </is>
      </c>
      <c r="G34" s="24" t="inlineStr">
        <is>
          <t>17</t>
        </is>
      </c>
      <c r="H34" s="25" t="n">
        <v>0.44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0.0223</v>
      </c>
      <c r="R34" s="25" t="n">
        <v>0.0173</v>
      </c>
      <c r="S34" s="25" t="n"/>
      <c r="T34" s="26" t="n"/>
      <c r="U34" s="25" t="n">
        <v>0.0179</v>
      </c>
      <c r="V34" s="25" t="n"/>
      <c r="W34" s="27" t="n">
        <v>17</v>
      </c>
      <c r="X34" s="28" t="n"/>
      <c r="Y34" s="28" t="n"/>
      <c r="Z34" s="28" t="n"/>
      <c r="AA34" s="28" t="n"/>
      <c r="AB34" s="29" t="n"/>
      <c r="AC34" s="28" t="n"/>
      <c r="AD34" s="28" t="n">
        <v>0.0157</v>
      </c>
      <c r="AE34" s="28" t="n">
        <v>0.8237</v>
      </c>
      <c r="AF34" s="29" t="n">
        <v>7</v>
      </c>
      <c r="AG34" s="28" t="n"/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Lee Smith</t>
        </is>
      </c>
      <c r="C35" s="35" t="n">
        <v>4</v>
      </c>
      <c r="D35" s="35" t="inlineStr">
        <is>
          <t>34</t>
        </is>
      </c>
      <c r="E35" s="42" t="inlineStr">
        <is>
          <t>ACT</t>
        </is>
      </c>
      <c r="F35" s="24" t="inlineStr"/>
      <c r="G35" s="24" t="inlineStr"/>
      <c r="H35" s="25" t="n"/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0.0024</v>
      </c>
      <c r="AB35" s="29" t="n"/>
      <c r="AC35" s="28" t="n"/>
      <c r="AD35" s="28" t="n">
        <v>0.0046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BAL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1032</v>
      </c>
      <c r="D4" s="10">
        <f>$C$4/$B$4</f>
        <v/>
      </c>
      <c r="E4" s="11" t="n">
        <v>0.5063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974</v>
      </c>
      <c r="M4" s="14" t="n">
        <v>57.2941</v>
      </c>
      <c r="N4" s="15" t="n">
        <v>0.4795</v>
      </c>
      <c r="O4" s="13" t="n">
        <v>422</v>
      </c>
      <c r="P4" s="13" t="n">
        <v>507</v>
      </c>
      <c r="Q4" s="16" t="n">
        <v>7.7678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45.8</v>
      </c>
      <c r="C7" s="11" t="n">
        <v>0.4167</v>
      </c>
      <c r="D7" s="10">
        <f>$B$7*$C$7</f>
        <v/>
      </c>
      <c r="E7" s="10">
        <f>$B$7-$D$7</f>
        <v/>
      </c>
      <c r="F7" s="12" t="n">
        <v>3763</v>
      </c>
      <c r="G7" s="12" t="n">
        <v>2551</v>
      </c>
      <c r="H7" s="12">
        <f>$F$7</f>
        <v/>
      </c>
      <c r="L7" s="13" t="n">
        <v>3278</v>
      </c>
      <c r="M7" s="13" t="n">
        <v>2662</v>
      </c>
      <c r="N7" s="14" t="n">
        <v>23</v>
      </c>
      <c r="O7" s="14" t="n">
        <v>23</v>
      </c>
      <c r="P7" s="14" t="n">
        <v>46</v>
      </c>
      <c r="Q7" s="15" t="n">
        <v>0.5</v>
      </c>
    </row>
    <row r="8"/>
    <row r="9">
      <c r="A9" s="5" t="inlineStr">
        <is>
          <t>NOTES</t>
        </is>
      </c>
      <c r="B9" s="18" t="inlineStr">
        <is>
          <t>27% of targets and 12% of carries left this roster.  NEW HC Jesse Minter + OC Declan Doyle. More explosive plays expected - Doyle brings creativity and detail.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Lamar Jackson</t>
        </is>
      </c>
      <c r="C12" s="22" t="n">
        <v>1</v>
      </c>
      <c r="D12" s="22" t="inlineStr">
        <is>
          <t>29</t>
        </is>
      </c>
      <c r="E12" s="23" t="inlineStr">
        <is>
          <t>ACT</t>
        </is>
      </c>
      <c r="F12" s="24" t="inlineStr">
        <is>
          <t>BAL</t>
        </is>
      </c>
      <c r="G12" s="24" t="inlineStr">
        <is>
          <t>13</t>
        </is>
      </c>
      <c r="H12" s="25" t="n">
        <v>0.945</v>
      </c>
      <c r="I12" s="25" t="n">
        <v>0.7156</v>
      </c>
      <c r="J12" s="25" t="n">
        <v>0.654</v>
      </c>
      <c r="K12" s="26" t="n">
        <v>8.48</v>
      </c>
      <c r="L12" s="25" t="n">
        <v>0.016</v>
      </c>
      <c r="M12" s="25" t="n">
        <v>0.1184</v>
      </c>
      <c r="N12" s="26" t="n">
        <v>6.4</v>
      </c>
      <c r="O12" s="25" t="n">
        <v>0.12</v>
      </c>
      <c r="P12" s="25" t="n">
        <v>0.08699999999999999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0.775</v>
      </c>
      <c r="Y12" s="28" t="n">
        <v>0.654</v>
      </c>
      <c r="Z12" s="28" t="n">
        <v>0.016</v>
      </c>
      <c r="AA12" s="28" t="n">
        <v>0.1607</v>
      </c>
      <c r="AB12" s="29" t="n">
        <v>6.44</v>
      </c>
      <c r="AC12" s="28" t="n">
        <v>0.1207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Tyler Huntley</t>
        </is>
      </c>
      <c r="C13" s="35" t="n">
        <v>2</v>
      </c>
      <c r="D13" s="35" t="inlineStr">
        <is>
          <t>28</t>
        </is>
      </c>
      <c r="E13" s="42" t="inlineStr">
        <is>
          <t>ACT</t>
        </is>
      </c>
      <c r="F13" s="24" t="inlineStr">
        <is>
          <t>BAL</t>
        </is>
      </c>
      <c r="G13" s="24" t="inlineStr">
        <is>
          <t>5</t>
        </is>
      </c>
      <c r="H13" s="25" t="n">
        <v>0.634</v>
      </c>
      <c r="I13" s="25" t="n">
        <v>0.1588</v>
      </c>
      <c r="J13" s="25" t="n">
        <v>0.696</v>
      </c>
      <c r="K13" s="26" t="n">
        <v>6.15</v>
      </c>
      <c r="L13" s="25" t="n">
        <v>0.007</v>
      </c>
      <c r="M13" s="25" t="n">
        <v>0.0388</v>
      </c>
      <c r="N13" s="26" t="n">
        <v>5.4</v>
      </c>
      <c r="O13" s="25" t="n">
        <v>0.07000000000000001</v>
      </c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0.1464</v>
      </c>
      <c r="Y13" s="28" t="n">
        <v>0.696</v>
      </c>
      <c r="Z13" s="28" t="n">
        <v>0.007</v>
      </c>
      <c r="AA13" s="28" t="n">
        <v>0.0298</v>
      </c>
      <c r="AB13" s="29" t="n">
        <v>6.2</v>
      </c>
      <c r="AC13" s="28" t="n">
        <v>0.1384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Joe Fagnano</t>
        </is>
      </c>
      <c r="C14" s="22" t="n">
        <v>3</v>
      </c>
      <c r="D14" s="22" t="inlineStr">
        <is>
          <t>25</t>
        </is>
      </c>
      <c r="E14" s="23" t="inlineStr">
        <is>
          <t>ACT</t>
        </is>
      </c>
      <c r="F14" s="24" t="inlineStr"/>
      <c r="G14" s="24" t="inlineStr"/>
      <c r="H14" s="25" t="n"/>
      <c r="I14" s="25" t="n"/>
      <c r="J14" s="25" t="n"/>
      <c r="K14" s="26" t="n"/>
      <c r="L14" s="25" t="n"/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0.0854</v>
      </c>
      <c r="Y14" s="28" t="n">
        <v>0.65</v>
      </c>
      <c r="Z14" s="28" t="n">
        <v>0.022</v>
      </c>
      <c r="AA14" s="28" t="n">
        <v>0.0056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Derrick Henry</t>
        </is>
      </c>
      <c r="C16" s="22" t="n">
        <v>1</v>
      </c>
      <c r="D16" s="22" t="inlineStr">
        <is>
          <t>32</t>
        </is>
      </c>
      <c r="E16" s="23" t="inlineStr">
        <is>
          <t>ACT</t>
        </is>
      </c>
      <c r="F16" s="24" t="inlineStr">
        <is>
          <t>BAL</t>
        </is>
      </c>
      <c r="G16" s="24" t="inlineStr">
        <is>
          <t>17</t>
        </is>
      </c>
      <c r="H16" s="25" t="n">
        <v>0.552</v>
      </c>
      <c r="I16" s="25" t="n">
        <v>0.0024</v>
      </c>
      <c r="J16" s="25" t="n"/>
      <c r="K16" s="26" t="n"/>
      <c r="L16" s="25" t="n"/>
      <c r="M16" s="25" t="n">
        <v>0.6264999999999999</v>
      </c>
      <c r="N16" s="26" t="n">
        <v>5.2</v>
      </c>
      <c r="O16" s="25" t="n">
        <v>0.62</v>
      </c>
      <c r="P16" s="25" t="n">
        <v>0.6957</v>
      </c>
      <c r="Q16" s="25" t="n">
        <v>0.0481</v>
      </c>
      <c r="R16" s="25" t="n">
        <v>0.0516</v>
      </c>
      <c r="S16" s="25" t="n">
        <v>0.772</v>
      </c>
      <c r="T16" s="26" t="n">
        <v>9.58</v>
      </c>
      <c r="U16" s="25" t="n">
        <v>0.0385</v>
      </c>
      <c r="V16" s="25" t="n"/>
      <c r="W16" s="27" t="n">
        <v>17</v>
      </c>
      <c r="X16" s="28" t="n"/>
      <c r="Y16" s="28" t="n"/>
      <c r="Z16" s="28" t="n"/>
      <c r="AA16" s="28" t="n">
        <v>0.5414</v>
      </c>
      <c r="AB16" s="29" t="n">
        <v>5.13</v>
      </c>
      <c r="AC16" s="28" t="n">
        <v>0.6032</v>
      </c>
      <c r="AD16" s="28" t="n">
        <v>0.0694</v>
      </c>
      <c r="AE16" s="28" t="n">
        <v>0.7718</v>
      </c>
      <c r="AF16" s="29" t="n">
        <v>8.98</v>
      </c>
      <c r="AG16" s="28" t="n">
        <v>0.0591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Justice Hill</t>
        </is>
      </c>
      <c r="C17" s="35" t="n">
        <v>2</v>
      </c>
      <c r="D17" s="35" t="inlineStr">
        <is>
          <t>28</t>
        </is>
      </c>
      <c r="E17" s="42" t="inlineStr">
        <is>
          <t>ACT</t>
        </is>
      </c>
      <c r="F17" s="24" t="inlineStr">
        <is>
          <t>BAL</t>
        </is>
      </c>
      <c r="G17" s="24" t="inlineStr">
        <is>
          <t>10</t>
        </is>
      </c>
      <c r="H17" s="25" t="n">
        <v>0.392</v>
      </c>
      <c r="I17" s="25" t="n"/>
      <c r="J17" s="25" t="n"/>
      <c r="K17" s="26" t="n"/>
      <c r="L17" s="25" t="n"/>
      <c r="M17" s="25" t="n">
        <v>0.0367</v>
      </c>
      <c r="N17" s="26" t="n">
        <v>4.75</v>
      </c>
      <c r="O17" s="25" t="n">
        <v>0.03</v>
      </c>
      <c r="P17" s="25" t="n">
        <v>0.08699999999999999</v>
      </c>
      <c r="Q17" s="25" t="n">
        <v>0.1116</v>
      </c>
      <c r="R17" s="25" t="n">
        <v>0.0663</v>
      </c>
      <c r="S17" s="25" t="n">
        <v>0.779</v>
      </c>
      <c r="T17" s="26" t="n">
        <v>8.25</v>
      </c>
      <c r="U17" s="25" t="n">
        <v>0.0192</v>
      </c>
      <c r="V17" s="25" t="n">
        <v>0.0435</v>
      </c>
      <c r="W17" s="27" t="n">
        <v>17</v>
      </c>
      <c r="X17" s="28" t="n"/>
      <c r="Y17" s="28" t="n"/>
      <c r="Z17" s="28" t="n"/>
      <c r="AA17" s="28" t="n">
        <v>0.128</v>
      </c>
      <c r="AB17" s="29" t="n">
        <v>4.75</v>
      </c>
      <c r="AC17" s="28" t="n">
        <v>0.06660000000000001</v>
      </c>
      <c r="AD17" s="28" t="n">
        <v>0.06859999999999999</v>
      </c>
      <c r="AE17" s="28" t="n">
        <v>0.7789</v>
      </c>
      <c r="AF17" s="29" t="n">
        <v>8.33</v>
      </c>
      <c r="AG17" s="28" t="n">
        <v>0.0634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Rasheen Ali</t>
        </is>
      </c>
      <c r="C18" s="22" t="n">
        <v>3</v>
      </c>
      <c r="D18" s="22" t="inlineStr">
        <is>
          <t>25</t>
        </is>
      </c>
      <c r="E18" s="23" t="inlineStr">
        <is>
          <t>ACT</t>
        </is>
      </c>
      <c r="F18" s="24" t="inlineStr">
        <is>
          <t>BAL</t>
        </is>
      </c>
      <c r="G18" s="24" t="inlineStr">
        <is>
          <t>15</t>
        </is>
      </c>
      <c r="H18" s="25" t="n">
        <v>0.166</v>
      </c>
      <c r="I18" s="25" t="n"/>
      <c r="J18" s="25" t="n"/>
      <c r="K18" s="26" t="n"/>
      <c r="L18" s="25" t="n"/>
      <c r="M18" s="25" t="n">
        <v>0.0143</v>
      </c>
      <c r="N18" s="26" t="n"/>
      <c r="O18" s="25" t="n">
        <v>0.01</v>
      </c>
      <c r="P18" s="25" t="n"/>
      <c r="Q18" s="25" t="n">
        <v>0.0044</v>
      </c>
      <c r="R18" s="25" t="n">
        <v>0.027</v>
      </c>
      <c r="S18" s="25" t="n"/>
      <c r="T18" s="26" t="n"/>
      <c r="U18" s="25" t="n">
        <v>0.0192</v>
      </c>
      <c r="V18" s="25" t="n">
        <v>0.0435</v>
      </c>
      <c r="W18" s="27" t="n">
        <v>17</v>
      </c>
      <c r="X18" s="28" t="n"/>
      <c r="Y18" s="28" t="n"/>
      <c r="Z18" s="28" t="n"/>
      <c r="AA18" s="28" t="n">
        <v>0.0177</v>
      </c>
      <c r="AB18" s="29" t="n">
        <v>3.24</v>
      </c>
      <c r="AC18" s="28" t="n"/>
      <c r="AD18" s="28" t="n">
        <v>0.0181</v>
      </c>
      <c r="AE18" s="28" t="n">
        <v>0.8182</v>
      </c>
      <c r="AF18" s="29" t="n">
        <v>7.56</v>
      </c>
      <c r="AG18" s="28" t="n">
        <v>0.0527</v>
      </c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n"/>
      <c r="C19" s="34" t="n"/>
      <c r="D19" s="34" t="n"/>
      <c r="E19" s="34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40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Zay Flowers</t>
        </is>
      </c>
      <c r="C23" s="35" t="n">
        <v>1</v>
      </c>
      <c r="D23" s="35" t="inlineStr">
        <is>
          <t>25</t>
        </is>
      </c>
      <c r="E23" s="36" t="inlineStr">
        <is>
          <t>QUESTIONABLE</t>
        </is>
      </c>
      <c r="F23" s="24" t="inlineStr">
        <is>
          <t>BAL</t>
        </is>
      </c>
      <c r="G23" s="24" t="inlineStr">
        <is>
          <t>17</t>
        </is>
      </c>
      <c r="H23" s="25" t="n">
        <v>0.825</v>
      </c>
      <c r="I23" s="25" t="n"/>
      <c r="J23" s="25" t="n"/>
      <c r="K23" s="26" t="n"/>
      <c r="L23" s="25" t="n"/>
      <c r="M23" s="25" t="n">
        <v>0.0204</v>
      </c>
      <c r="N23" s="26" t="n"/>
      <c r="O23" s="25" t="n">
        <v>0.01</v>
      </c>
      <c r="P23" s="25" t="n">
        <v>0.0435</v>
      </c>
      <c r="Q23" s="25" t="n">
        <v>0.2538</v>
      </c>
      <c r="R23" s="25" t="n">
        <v>0.2899</v>
      </c>
      <c r="S23" s="25" t="n">
        <v>0.698</v>
      </c>
      <c r="T23" s="26" t="n">
        <v>13.59</v>
      </c>
      <c r="U23" s="25" t="n">
        <v>0.1923</v>
      </c>
      <c r="V23" s="25" t="n">
        <v>0.2174</v>
      </c>
      <c r="W23" s="27" t="n">
        <v>17</v>
      </c>
      <c r="X23" s="28" t="n"/>
      <c r="Y23" s="28" t="n"/>
      <c r="Z23" s="28" t="n"/>
      <c r="AA23" s="28" t="n">
        <v>0.0166</v>
      </c>
      <c r="AB23" s="29" t="n">
        <v>6.44</v>
      </c>
      <c r="AC23" s="28" t="n">
        <v>0.035</v>
      </c>
      <c r="AD23" s="28" t="n">
        <v>0.2548</v>
      </c>
      <c r="AE23" s="28" t="n">
        <v>0.6982</v>
      </c>
      <c r="AF23" s="29" t="n">
        <v>13.2</v>
      </c>
      <c r="AG23" s="28" t="n">
        <v>0.2117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Rashod Bateman</t>
        </is>
      </c>
      <c r="C24" s="22" t="n">
        <v>2</v>
      </c>
      <c r="D24" s="22" t="inlineStr">
        <is>
          <t>26</t>
        </is>
      </c>
      <c r="E24" s="23" t="inlineStr">
        <is>
          <t>ACT</t>
        </is>
      </c>
      <c r="F24" s="24" t="inlineStr">
        <is>
          <t>BAL</t>
        </is>
      </c>
      <c r="G24" s="24" t="inlineStr">
        <is>
          <t>13</t>
        </is>
      </c>
      <c r="H24" s="25" t="n">
        <v>0.668</v>
      </c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>
        <v>0.1575</v>
      </c>
      <c r="R24" s="25" t="n">
        <v>0.0934</v>
      </c>
      <c r="S24" s="25" t="n">
        <v>0.5590000000000001</v>
      </c>
      <c r="T24" s="26" t="n">
        <v>13.45</v>
      </c>
      <c r="U24" s="25" t="n">
        <v>0.1538</v>
      </c>
      <c r="V24" s="25" t="n">
        <v>0.08699999999999999</v>
      </c>
      <c r="W24" s="27" t="n">
        <v>17</v>
      </c>
      <c r="X24" s="28" t="n"/>
      <c r="Y24" s="28" t="n"/>
      <c r="Z24" s="28" t="n"/>
      <c r="AA24" s="28" t="n">
        <v>0.0037</v>
      </c>
      <c r="AB24" s="29" t="n"/>
      <c r="AC24" s="28" t="n"/>
      <c r="AD24" s="28" t="n">
        <v>0.1261</v>
      </c>
      <c r="AE24" s="28" t="n">
        <v>0.5585</v>
      </c>
      <c r="AF24" s="29" t="n">
        <v>14.03</v>
      </c>
      <c r="AG24" s="28" t="n">
        <v>0.1474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Ja'Kobi Lane</t>
        </is>
      </c>
      <c r="C25" s="35" t="n">
        <v>3</v>
      </c>
      <c r="D25" s="35" t="inlineStr">
        <is>
          <t>22</t>
        </is>
      </c>
      <c r="E25" s="42" t="inlineStr">
        <is>
          <t>ACT</t>
        </is>
      </c>
      <c r="F25" s="24" t="inlineStr"/>
      <c r="G25" s="24" t="inlineStr"/>
      <c r="H25" s="25" t="n"/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/>
      <c r="R25" s="25" t="n"/>
      <c r="S25" s="25" t="n"/>
      <c r="T25" s="26" t="n"/>
      <c r="U25" s="25" t="n"/>
      <c r="V25" s="25" t="n"/>
      <c r="W25" s="27" t="n">
        <v>17</v>
      </c>
      <c r="X25" s="28" t="n"/>
      <c r="Y25" s="28" t="n"/>
      <c r="Z25" s="28" t="n"/>
      <c r="AA25" s="28" t="n">
        <v>0.0027</v>
      </c>
      <c r="AB25" s="29" t="n"/>
      <c r="AC25" s="28" t="n"/>
      <c r="AD25" s="28" t="n">
        <v>0.0919</v>
      </c>
      <c r="AE25" s="28" t="n">
        <v>0.65</v>
      </c>
      <c r="AF25" s="29" t="n">
        <v>12.84</v>
      </c>
      <c r="AG25" s="28" t="n"/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Devontez Walker</t>
        </is>
      </c>
      <c r="C26" s="22" t="n">
        <v>4</v>
      </c>
      <c r="D26" s="22" t="inlineStr">
        <is>
          <t>25</t>
        </is>
      </c>
      <c r="E26" s="23" t="inlineStr">
        <is>
          <t>ACT</t>
        </is>
      </c>
      <c r="F26" s="24" t="inlineStr">
        <is>
          <t>BAL</t>
        </is>
      </c>
      <c r="G26" s="24" t="inlineStr">
        <is>
          <t>12</t>
        </is>
      </c>
      <c r="H26" s="25" t="n">
        <v>0.241</v>
      </c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>
        <v>0.0066</v>
      </c>
      <c r="R26" s="25" t="n">
        <v>0.0197</v>
      </c>
      <c r="S26" s="25" t="n"/>
      <c r="T26" s="26" t="n"/>
      <c r="U26" s="25" t="n">
        <v>0.0192</v>
      </c>
      <c r="V26" s="25" t="n">
        <v>0.1304</v>
      </c>
      <c r="W26" s="27" t="n">
        <v>17</v>
      </c>
      <c r="X26" s="28" t="n"/>
      <c r="Y26" s="28" t="n"/>
      <c r="Z26" s="28" t="n"/>
      <c r="AA26" s="28" t="n">
        <v>0.0008</v>
      </c>
      <c r="AB26" s="29" t="n"/>
      <c r="AC26" s="28" t="n"/>
      <c r="AD26" s="28" t="n">
        <v>0.0169</v>
      </c>
      <c r="AE26" s="28" t="n">
        <v>0.6207</v>
      </c>
      <c r="AF26" s="29" t="n">
        <v>12.84</v>
      </c>
      <c r="AG26" s="28" t="n">
        <v>0.118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Elijah Sarratt</t>
        </is>
      </c>
      <c r="C27" s="35" t="n">
        <v>5</v>
      </c>
      <c r="D27" s="35" t="inlineStr">
        <is>
          <t>23</t>
        </is>
      </c>
      <c r="E27" s="42" t="inlineStr">
        <is>
          <t>ACT</t>
        </is>
      </c>
      <c r="F27" s="24" t="inlineStr"/>
      <c r="G27" s="24" t="inlineStr"/>
      <c r="H27" s="25" t="n"/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/>
      <c r="R27" s="25" t="n"/>
      <c r="S27" s="25" t="n"/>
      <c r="T27" s="26" t="n"/>
      <c r="U27" s="25" t="n"/>
      <c r="V27" s="25" t="n"/>
      <c r="W27" s="27" t="n">
        <v>17</v>
      </c>
      <c r="X27" s="28" t="n"/>
      <c r="Y27" s="28" t="n"/>
      <c r="Z27" s="28" t="n"/>
      <c r="AA27" s="28" t="n">
        <v>0.0022</v>
      </c>
      <c r="AB27" s="29" t="n"/>
      <c r="AC27" s="28" t="n"/>
      <c r="AD27" s="28" t="n">
        <v>0.0475</v>
      </c>
      <c r="AE27" s="28" t="n">
        <v>0.65</v>
      </c>
      <c r="AF27" s="29" t="n">
        <v>12.84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LaJohntay Wester</t>
        </is>
      </c>
      <c r="C28" s="22" t="n">
        <v>6</v>
      </c>
      <c r="D28" s="22" t="inlineStr">
        <is>
          <t>24</t>
        </is>
      </c>
      <c r="E28" s="23" t="inlineStr">
        <is>
          <t>ACT</t>
        </is>
      </c>
      <c r="F28" s="24" t="inlineStr"/>
      <c r="G28" s="24" t="inlineStr"/>
      <c r="H28" s="25" t="n">
        <v>0.075</v>
      </c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/>
      <c r="R28" s="25" t="n"/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0.002</v>
      </c>
      <c r="AB28" s="29" t="n"/>
      <c r="AC28" s="28" t="n"/>
      <c r="AD28" s="28" t="n">
        <v>0.005</v>
      </c>
      <c r="AE28" s="28" t="n">
        <v>0.65</v>
      </c>
      <c r="AF28" s="29" t="n">
        <v>12.84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n"/>
      <c r="C29" s="34" t="n"/>
      <c r="D29" s="34" t="n"/>
      <c r="E29" s="34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40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Mark Andrews</t>
        </is>
      </c>
      <c r="C32" s="22" t="n">
        <v>1</v>
      </c>
      <c r="D32" s="22" t="inlineStr">
        <is>
          <t>30</t>
        </is>
      </c>
      <c r="E32" s="23" t="inlineStr">
        <is>
          <t>ACT</t>
        </is>
      </c>
      <c r="F32" s="24" t="inlineStr">
        <is>
          <t>BAL</t>
        </is>
      </c>
      <c r="G32" s="24" t="inlineStr">
        <is>
          <t>17</t>
        </is>
      </c>
      <c r="H32" s="25" t="n">
        <v>0.631</v>
      </c>
      <c r="I32" s="25" t="n"/>
      <c r="J32" s="25" t="n"/>
      <c r="K32" s="26" t="n"/>
      <c r="L32" s="25" t="n"/>
      <c r="M32" s="25" t="n">
        <v>0.0204</v>
      </c>
      <c r="N32" s="26" t="n"/>
      <c r="O32" s="25" t="n">
        <v>0.03</v>
      </c>
      <c r="P32" s="25" t="n">
        <v>0.0435</v>
      </c>
      <c r="Q32" s="25" t="n">
        <v>0.151</v>
      </c>
      <c r="R32" s="25" t="n">
        <v>0.172</v>
      </c>
      <c r="S32" s="25" t="n">
        <v>0.729</v>
      </c>
      <c r="T32" s="26" t="n">
        <v>10.34</v>
      </c>
      <c r="U32" s="25" t="n">
        <v>0.2692</v>
      </c>
      <c r="V32" s="25" t="n">
        <v>0.2174</v>
      </c>
      <c r="W32" s="27" t="n">
        <v>17</v>
      </c>
      <c r="X32" s="28" t="n"/>
      <c r="Y32" s="28" t="n"/>
      <c r="Z32" s="28" t="n"/>
      <c r="AA32" s="28" t="n">
        <v>0.01</v>
      </c>
      <c r="AB32" s="29" t="n">
        <v>3.53</v>
      </c>
      <c r="AC32" s="28" t="n">
        <v>0.0361</v>
      </c>
      <c r="AD32" s="28" t="n">
        <v>0.1543</v>
      </c>
      <c r="AE32" s="28" t="n">
        <v>0.7288</v>
      </c>
      <c r="AF32" s="29" t="n">
        <v>11.07</v>
      </c>
      <c r="AG32" s="28" t="n">
        <v>0.2841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Durham Smythe</t>
        </is>
      </c>
      <c r="C33" s="35" t="n">
        <v>2</v>
      </c>
      <c r="D33" s="35" t="inlineStr">
        <is>
          <t>31</t>
        </is>
      </c>
      <c r="E33" s="42" t="inlineStr">
        <is>
          <t>ACT</t>
        </is>
      </c>
      <c r="F33" s="24" t="inlineStr">
        <is>
          <t>CHI</t>
        </is>
      </c>
      <c r="G33" s="24" t="inlineStr">
        <is>
          <t>17</t>
        </is>
      </c>
      <c r="H33" s="25" t="n">
        <v>0.378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0.0299</v>
      </c>
      <c r="R33" s="25" t="n">
        <v>0.0113</v>
      </c>
      <c r="S33" s="25" t="n">
        <v>0.639</v>
      </c>
      <c r="T33" s="26" t="n">
        <v>10.46</v>
      </c>
      <c r="U33" s="25" t="n"/>
      <c r="V33" s="25" t="n"/>
      <c r="W33" s="27" t="n">
        <v>17</v>
      </c>
      <c r="X33" s="28" t="n"/>
      <c r="Y33" s="28" t="n"/>
      <c r="Z33" s="28" t="n"/>
      <c r="AA33" s="28" t="n">
        <v>0.0021</v>
      </c>
      <c r="AB33" s="29" t="n"/>
      <c r="AC33" s="28" t="n"/>
      <c r="AD33" s="28" t="n">
        <v>0.0223</v>
      </c>
      <c r="AE33" s="28" t="n">
        <v>0.6531</v>
      </c>
      <c r="AF33" s="29" t="n">
        <v>9.25</v>
      </c>
      <c r="AG33" s="28" t="n"/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Matt Hibner</t>
        </is>
      </c>
      <c r="C34" s="22" t="n">
        <v>3</v>
      </c>
      <c r="D34" s="22" t="inlineStr">
        <is>
          <t>24</t>
        </is>
      </c>
      <c r="E34" s="23" t="inlineStr">
        <is>
          <t>ACT</t>
        </is>
      </c>
      <c r="F34" s="24" t="inlineStr"/>
      <c r="G34" s="24" t="inlineStr"/>
      <c r="H34" s="25" t="n"/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/>
      <c r="R34" s="25" t="n"/>
      <c r="S34" s="25" t="n"/>
      <c r="T34" s="26" t="n"/>
      <c r="U34" s="25" t="n"/>
      <c r="V34" s="25" t="n"/>
      <c r="W34" s="27" t="n">
        <v>17</v>
      </c>
      <c r="X34" s="28" t="n"/>
      <c r="Y34" s="28" t="n"/>
      <c r="Z34" s="28" t="n"/>
      <c r="AA34" s="28" t="n">
        <v>0.002</v>
      </c>
      <c r="AB34" s="29" t="n"/>
      <c r="AC34" s="28" t="n"/>
      <c r="AD34" s="28" t="n">
        <v>0.0732</v>
      </c>
      <c r="AE34" s="28" t="n">
        <v>0.65</v>
      </c>
      <c r="AF34" s="29" t="n">
        <v>10.32</v>
      </c>
      <c r="AG34" s="28" t="n"/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Josh Cuevas</t>
        </is>
      </c>
      <c r="C35" s="35" t="n">
        <v>4</v>
      </c>
      <c r="D35" s="35" t="inlineStr">
        <is>
          <t>22</t>
        </is>
      </c>
      <c r="E35" s="42" t="inlineStr">
        <is>
          <t>ACT</t>
        </is>
      </c>
      <c r="F35" s="24" t="inlineStr"/>
      <c r="G35" s="24" t="inlineStr"/>
      <c r="H35" s="25" t="n"/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0.0021</v>
      </c>
      <c r="AB35" s="29" t="n"/>
      <c r="AC35" s="28" t="n"/>
      <c r="AD35" s="28" t="n">
        <v>0.0069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BUF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1064</v>
      </c>
      <c r="D4" s="10">
        <f>$C$4/$B$4</f>
        <v/>
      </c>
      <c r="E4" s="11" t="n">
        <v>0.5275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1082</v>
      </c>
      <c r="M4" s="14" t="n">
        <v>63.6471</v>
      </c>
      <c r="N4" s="15" t="n">
        <v>0.4945</v>
      </c>
      <c r="O4" s="13" t="n">
        <v>495</v>
      </c>
      <c r="P4" s="13" t="n">
        <v>547</v>
      </c>
      <c r="Q4" s="16" t="n">
        <v>8.042400000000001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46.1</v>
      </c>
      <c r="C7" s="11" t="n">
        <v>0.4615</v>
      </c>
      <c r="D7" s="10">
        <f>$B$7*$C$7</f>
        <v/>
      </c>
      <c r="E7" s="10">
        <f>$B$7-$D$7</f>
        <v/>
      </c>
      <c r="F7" s="12" t="n">
        <v>4003</v>
      </c>
      <c r="G7" s="12" t="n">
        <v>2305</v>
      </c>
      <c r="H7" s="12">
        <f>$F$7</f>
        <v/>
      </c>
      <c r="L7" s="13" t="n">
        <v>3981</v>
      </c>
      <c r="M7" s="13" t="n">
        <v>2714</v>
      </c>
      <c r="N7" s="14" t="n">
        <v>29</v>
      </c>
      <c r="O7" s="14" t="n">
        <v>30</v>
      </c>
      <c r="P7" s="14" t="n">
        <v>59</v>
      </c>
      <c r="Q7" s="15" t="n">
        <v>0.5084745762711864</v>
      </c>
    </row>
    <row r="8"/>
    <row r="9">
      <c r="A9" s="5" t="inlineStr">
        <is>
          <t>NOTES</t>
        </is>
      </c>
      <c r="B9" s="18" t="inlineStr">
        <is>
          <t>9% of targets and 1% of carries left this roster.  NEW HC Joe Brady (promoted from OC) + OC Pete Carmichael Jr. Brady keeps play-calling. Run-lean; controlled pace continues.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Josh Allen</t>
        </is>
      </c>
      <c r="C12" s="22" t="n">
        <v>1</v>
      </c>
      <c r="D12" s="22" t="inlineStr">
        <is>
          <t>30</t>
        </is>
      </c>
      <c r="E12" s="23" t="inlineStr">
        <is>
          <t>ACT</t>
        </is>
      </c>
      <c r="F12" s="24" t="inlineStr">
        <is>
          <t>BUF</t>
        </is>
      </c>
      <c r="G12" s="24" t="inlineStr">
        <is>
          <t>17</t>
        </is>
      </c>
      <c r="H12" s="25" t="n">
        <v>0.921</v>
      </c>
      <c r="I12" s="25" t="n">
        <v>0.9293</v>
      </c>
      <c r="J12" s="25" t="n">
        <v>0.67</v>
      </c>
      <c r="K12" s="26" t="n">
        <v>7.79</v>
      </c>
      <c r="L12" s="25" t="n">
        <v>0.021</v>
      </c>
      <c r="M12" s="25" t="n">
        <v>0.1785</v>
      </c>
      <c r="N12" s="26" t="n">
        <v>5.84</v>
      </c>
      <c r="O12" s="25" t="n">
        <v>0.2768</v>
      </c>
      <c r="P12" s="25" t="n">
        <v>0.4667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0.8714</v>
      </c>
      <c r="Y12" s="28" t="n">
        <v>0.67</v>
      </c>
      <c r="Z12" s="28" t="n">
        <v>0.021</v>
      </c>
      <c r="AA12" s="28" t="n">
        <v>0.1647</v>
      </c>
      <c r="AB12" s="29" t="n">
        <v>5.65</v>
      </c>
      <c r="AC12" s="28" t="n">
        <v>0.45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Kyle Allen</t>
        </is>
      </c>
      <c r="C13" s="35" t="n">
        <v>2</v>
      </c>
      <c r="D13" s="35" t="inlineStr">
        <is>
          <t>30</t>
        </is>
      </c>
      <c r="E13" s="42" t="inlineStr">
        <is>
          <t>ACT</t>
        </is>
      </c>
      <c r="F13" s="24" t="inlineStr">
        <is>
          <t>DET</t>
        </is>
      </c>
      <c r="G13" s="24" t="inlineStr">
        <is>
          <t>3</t>
        </is>
      </c>
      <c r="H13" s="25" t="n">
        <v>0.067</v>
      </c>
      <c r="I13" s="25" t="n">
        <v>0.0034</v>
      </c>
      <c r="J13" s="25" t="n"/>
      <c r="K13" s="26" t="n"/>
      <c r="L13" s="25" t="n"/>
      <c r="M13" s="25" t="n"/>
      <c r="N13" s="26" t="n"/>
      <c r="O13" s="25" t="n"/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0.0433</v>
      </c>
      <c r="Y13" s="28" t="n">
        <v>0.65</v>
      </c>
      <c r="Z13" s="28" t="n">
        <v>0.022</v>
      </c>
      <c r="AA13" s="28" t="n">
        <v>0.009599999999999999</v>
      </c>
      <c r="AB13" s="29" t="n">
        <v>4.5</v>
      </c>
      <c r="AC13" s="28" t="n"/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40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James Cook</t>
        </is>
      </c>
      <c r="C16" s="22" t="n">
        <v>1</v>
      </c>
      <c r="D16" s="22" t="inlineStr">
        <is>
          <t>26</t>
        </is>
      </c>
      <c r="E16" s="23" t="inlineStr">
        <is>
          <t>ACT</t>
        </is>
      </c>
      <c r="F16" s="24" t="inlineStr">
        <is>
          <t>BUF</t>
        </is>
      </c>
      <c r="G16" s="24" t="inlineStr">
        <is>
          <t>17</t>
        </is>
      </c>
      <c r="H16" s="25" t="n">
        <v>0.539</v>
      </c>
      <c r="I16" s="25" t="n"/>
      <c r="J16" s="25" t="n"/>
      <c r="K16" s="26" t="n"/>
      <c r="L16" s="25" t="n"/>
      <c r="M16" s="25" t="n">
        <v>0.5931</v>
      </c>
      <c r="N16" s="26" t="n">
        <v>5.03</v>
      </c>
      <c r="O16" s="25" t="n">
        <v>0.4732</v>
      </c>
      <c r="P16" s="25" t="n">
        <v>0.4</v>
      </c>
      <c r="Q16" s="25" t="n">
        <v>0.07679999999999999</v>
      </c>
      <c r="R16" s="25" t="n">
        <v>0.0835</v>
      </c>
      <c r="S16" s="25" t="n">
        <v>0.828</v>
      </c>
      <c r="T16" s="26" t="n">
        <v>8.859999999999999</v>
      </c>
      <c r="U16" s="25" t="n">
        <v>0.0455</v>
      </c>
      <c r="V16" s="25" t="n">
        <v>0.06900000000000001</v>
      </c>
      <c r="W16" s="27" t="n">
        <v>17</v>
      </c>
      <c r="X16" s="28" t="n"/>
      <c r="Y16" s="28" t="n"/>
      <c r="Z16" s="28" t="n"/>
      <c r="AA16" s="28" t="n">
        <v>0.4978</v>
      </c>
      <c r="AB16" s="29" t="n">
        <v>4.98</v>
      </c>
      <c r="AC16" s="28" t="n">
        <v>0.3414</v>
      </c>
      <c r="AD16" s="28" t="n">
        <v>0.0793</v>
      </c>
      <c r="AE16" s="28" t="n">
        <v>0.8278</v>
      </c>
      <c r="AF16" s="29" t="n">
        <v>9.119999999999999</v>
      </c>
      <c r="AG16" s="28" t="n">
        <v>0.0636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Ty Johnson</t>
        </is>
      </c>
      <c r="C17" s="35" t="n">
        <v>2</v>
      </c>
      <c r="D17" s="35" t="inlineStr">
        <is>
          <t>28</t>
        </is>
      </c>
      <c r="E17" s="36" t="inlineStr">
        <is>
          <t>QUESTIONABLE</t>
        </is>
      </c>
      <c r="F17" s="24" t="inlineStr">
        <is>
          <t>BUF</t>
        </is>
      </c>
      <c r="G17" s="24" t="inlineStr">
        <is>
          <t>17</t>
        </is>
      </c>
      <c r="H17" s="25" t="n">
        <v>0.265</v>
      </c>
      <c r="I17" s="25" t="n"/>
      <c r="J17" s="25" t="n"/>
      <c r="K17" s="26" t="n"/>
      <c r="L17" s="25" t="n"/>
      <c r="M17" s="25" t="n">
        <v>0.096</v>
      </c>
      <c r="N17" s="26" t="n">
        <v>4.44</v>
      </c>
      <c r="O17" s="25" t="n">
        <v>0.1696</v>
      </c>
      <c r="P17" s="25" t="n">
        <v>0.1</v>
      </c>
      <c r="Q17" s="25" t="n">
        <v>0.0505</v>
      </c>
      <c r="R17" s="25" t="n">
        <v>0.0689</v>
      </c>
      <c r="S17" s="25" t="n">
        <v>0.725</v>
      </c>
      <c r="T17" s="26" t="n">
        <v>12.77</v>
      </c>
      <c r="U17" s="25" t="n">
        <v>0.0606</v>
      </c>
      <c r="V17" s="25" t="n">
        <v>0.06900000000000001</v>
      </c>
      <c r="W17" s="27" t="n">
        <v>17</v>
      </c>
      <c r="X17" s="28" t="n"/>
      <c r="Y17" s="28" t="n"/>
      <c r="Z17" s="28" t="n"/>
      <c r="AA17" s="28" t="n">
        <v>0.148</v>
      </c>
      <c r="AB17" s="29" t="n">
        <v>4.5</v>
      </c>
      <c r="AC17" s="28" t="n">
        <v>0.0692</v>
      </c>
      <c r="AD17" s="28" t="n">
        <v>0.048</v>
      </c>
      <c r="AE17" s="28" t="n">
        <v>0.7599</v>
      </c>
      <c r="AF17" s="29" t="n">
        <v>12.43</v>
      </c>
      <c r="AG17" s="28" t="n">
        <v>0.0578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Ray Davis</t>
        </is>
      </c>
      <c r="C18" s="22" t="n">
        <v>3</v>
      </c>
      <c r="D18" s="22" t="inlineStr">
        <is>
          <t>26</t>
        </is>
      </c>
      <c r="E18" s="23" t="inlineStr">
        <is>
          <t>ACT</t>
        </is>
      </c>
      <c r="F18" s="24" t="inlineStr">
        <is>
          <t>BUF</t>
        </is>
      </c>
      <c r="G18" s="24" t="inlineStr">
        <is>
          <t>17</t>
        </is>
      </c>
      <c r="H18" s="25" t="n">
        <v>0.181</v>
      </c>
      <c r="I18" s="25" t="n"/>
      <c r="J18" s="25" t="n"/>
      <c r="K18" s="26" t="n"/>
      <c r="L18" s="25" t="n"/>
      <c r="M18" s="25" t="n">
        <v>0.1113</v>
      </c>
      <c r="N18" s="26" t="n">
        <v>4.43</v>
      </c>
      <c r="O18" s="25" t="n">
        <v>0.0625</v>
      </c>
      <c r="P18" s="25" t="n"/>
      <c r="Q18" s="25" t="n">
        <v>0.0384</v>
      </c>
      <c r="R18" s="25" t="n">
        <v>0.0271</v>
      </c>
      <c r="S18" s="25" t="n">
        <v>0.895</v>
      </c>
      <c r="T18" s="26" t="n">
        <v>11.12</v>
      </c>
      <c r="U18" s="25" t="n">
        <v>0.0606</v>
      </c>
      <c r="V18" s="25" t="n">
        <v>0.06900000000000001</v>
      </c>
      <c r="W18" s="27" t="n">
        <v>17</v>
      </c>
      <c r="X18" s="28" t="n"/>
      <c r="Y18" s="28" t="n"/>
      <c r="Z18" s="28" t="n"/>
      <c r="AA18" s="28" t="n">
        <v>0.0412</v>
      </c>
      <c r="AB18" s="29" t="n">
        <v>4.19</v>
      </c>
      <c r="AC18" s="28" t="n">
        <v>0.08749999999999999</v>
      </c>
      <c r="AD18" s="28" t="n">
        <v>0.0192</v>
      </c>
      <c r="AE18" s="28" t="n">
        <v>0.8163</v>
      </c>
      <c r="AF18" s="29" t="n">
        <v>10.19</v>
      </c>
      <c r="AG18" s="28" t="n">
        <v>0.0623</v>
      </c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n"/>
      <c r="C19" s="34" t="n"/>
      <c r="D19" s="34" t="n"/>
      <c r="E19" s="34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40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DJ Moore</t>
        </is>
      </c>
      <c r="C23" s="35" t="n">
        <v>1</v>
      </c>
      <c r="D23" s="35" t="inlineStr">
        <is>
          <t>29</t>
        </is>
      </c>
      <c r="E23" s="42" t="inlineStr">
        <is>
          <t>ACT</t>
        </is>
      </c>
      <c r="F23" s="24" t="inlineStr">
        <is>
          <t>CHI</t>
        </is>
      </c>
      <c r="G23" s="24" t="inlineStr">
        <is>
          <t>17</t>
        </is>
      </c>
      <c r="H23" s="25" t="n">
        <v>0.887</v>
      </c>
      <c r="I23" s="25" t="n">
        <v>0.0017</v>
      </c>
      <c r="J23" s="25" t="n"/>
      <c r="K23" s="26" t="n"/>
      <c r="L23" s="25" t="n"/>
      <c r="M23" s="25" t="n">
        <v>0.0304</v>
      </c>
      <c r="N23" s="26" t="n"/>
      <c r="O23" s="25" t="n">
        <v>0.0208</v>
      </c>
      <c r="P23" s="25" t="n">
        <v>0.0526</v>
      </c>
      <c r="Q23" s="25" t="n">
        <v>0.2657</v>
      </c>
      <c r="R23" s="25" t="n">
        <v>0.1598</v>
      </c>
      <c r="S23" s="25" t="n">
        <v>0.645</v>
      </c>
      <c r="T23" s="26" t="n">
        <v>12.62</v>
      </c>
      <c r="U23" s="25" t="n">
        <v>0.1642</v>
      </c>
      <c r="V23" s="25" t="n">
        <v>0.2143</v>
      </c>
      <c r="W23" s="27" t="n">
        <v>17</v>
      </c>
      <c r="X23" s="28" t="n"/>
      <c r="Y23" s="28" t="n"/>
      <c r="Z23" s="28" t="n"/>
      <c r="AA23" s="28" t="n">
        <v>0.0132</v>
      </c>
      <c r="AB23" s="29" t="n">
        <v>5.3</v>
      </c>
      <c r="AC23" s="28" t="n">
        <v>0.0518</v>
      </c>
      <c r="AD23" s="28" t="n">
        <v>0.2068</v>
      </c>
      <c r="AE23" s="28" t="n">
        <v>0.6453</v>
      </c>
      <c r="AF23" s="29" t="n">
        <v>12.34</v>
      </c>
      <c r="AG23" s="28" t="n">
        <v>0.2175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Khalil Shakir</t>
        </is>
      </c>
      <c r="C24" s="22" t="n">
        <v>2</v>
      </c>
      <c r="D24" s="22" t="inlineStr">
        <is>
          <t>26</t>
        </is>
      </c>
      <c r="E24" s="41" t="inlineStr">
        <is>
          <t>QUESTIONABLE</t>
        </is>
      </c>
      <c r="F24" s="24" t="inlineStr">
        <is>
          <t>BUF</t>
        </is>
      </c>
      <c r="G24" s="24" t="inlineStr">
        <is>
          <t>16</t>
        </is>
      </c>
      <c r="H24" s="25" t="n">
        <v>0.585</v>
      </c>
      <c r="I24" s="25" t="n"/>
      <c r="J24" s="25" t="n"/>
      <c r="K24" s="26" t="n"/>
      <c r="L24" s="25" t="n"/>
      <c r="M24" s="25" t="n">
        <v>0.0019</v>
      </c>
      <c r="N24" s="26" t="n"/>
      <c r="O24" s="25" t="n"/>
      <c r="P24" s="25" t="n"/>
      <c r="Q24" s="25" t="n">
        <v>0.202</v>
      </c>
      <c r="R24" s="25" t="n">
        <v>0.1983</v>
      </c>
      <c r="S24" s="25" t="n">
        <v>0.782</v>
      </c>
      <c r="T24" s="26" t="n">
        <v>11.43</v>
      </c>
      <c r="U24" s="25" t="n">
        <v>0.197</v>
      </c>
      <c r="V24" s="25" t="n">
        <v>0.1379</v>
      </c>
      <c r="W24" s="27" t="n">
        <v>17</v>
      </c>
      <c r="X24" s="28" t="n"/>
      <c r="Y24" s="28" t="n"/>
      <c r="Z24" s="28" t="n"/>
      <c r="AA24" s="28" t="n">
        <v>0.0034</v>
      </c>
      <c r="AB24" s="29" t="n">
        <v>4.75</v>
      </c>
      <c r="AC24" s="28" t="n"/>
      <c r="AD24" s="28" t="n">
        <v>0.1443</v>
      </c>
      <c r="AE24" s="28" t="n">
        <v>0.7817</v>
      </c>
      <c r="AF24" s="29" t="n">
        <v>11.5</v>
      </c>
      <c r="AG24" s="28" t="n">
        <v>0.09420000000000001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Keon Coleman</t>
        </is>
      </c>
      <c r="C25" s="35" t="n">
        <v>3</v>
      </c>
      <c r="D25" s="35" t="inlineStr">
        <is>
          <t>23</t>
        </is>
      </c>
      <c r="E25" s="36" t="inlineStr">
        <is>
          <t>QUESTIONABLE</t>
        </is>
      </c>
      <c r="F25" s="24" t="inlineStr">
        <is>
          <t>BUF</t>
        </is>
      </c>
      <c r="G25" s="24" t="inlineStr">
        <is>
          <t>13</t>
        </is>
      </c>
      <c r="H25" s="25" t="n">
        <v>0.681</v>
      </c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>
        <v>0.1152</v>
      </c>
      <c r="R25" s="25" t="n">
        <v>0.1232</v>
      </c>
      <c r="S25" s="25" t="n">
        <v>0.593</v>
      </c>
      <c r="T25" s="26" t="n">
        <v>13.83</v>
      </c>
      <c r="U25" s="25" t="n">
        <v>0.1364</v>
      </c>
      <c r="V25" s="25" t="n">
        <v>0.1379</v>
      </c>
      <c r="W25" s="27" t="n">
        <v>17</v>
      </c>
      <c r="X25" s="28" t="n"/>
      <c r="Y25" s="28" t="n"/>
      <c r="Z25" s="28" t="n"/>
      <c r="AA25" s="28" t="n">
        <v>0.002</v>
      </c>
      <c r="AB25" s="29" t="n"/>
      <c r="AC25" s="28" t="n"/>
      <c r="AD25" s="28" t="n">
        <v>0.0852</v>
      </c>
      <c r="AE25" s="28" t="n">
        <v>0.5933</v>
      </c>
      <c r="AF25" s="29" t="n">
        <v>14.33</v>
      </c>
      <c r="AG25" s="28" t="n">
        <v>0.1053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Joshua Palmer</t>
        </is>
      </c>
      <c r="C26" s="22" t="n">
        <v>4</v>
      </c>
      <c r="D26" s="22" t="inlineStr">
        <is>
          <t>26</t>
        </is>
      </c>
      <c r="E26" s="23" t="inlineStr">
        <is>
          <t>ACT</t>
        </is>
      </c>
      <c r="F26" s="24" t="inlineStr">
        <is>
          <t>BUF</t>
        </is>
      </c>
      <c r="G26" s="24" t="inlineStr">
        <is>
          <t>12</t>
        </is>
      </c>
      <c r="H26" s="25" t="n"/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>
        <v>0.1324</v>
      </c>
      <c r="R26" s="25" t="n">
        <v>0.0772</v>
      </c>
      <c r="S26" s="25" t="n">
        <v>0.601</v>
      </c>
      <c r="T26" s="26" t="n">
        <v>14.45</v>
      </c>
      <c r="U26" s="25" t="n">
        <v>0.07580000000000001</v>
      </c>
      <c r="V26" s="25" t="n"/>
      <c r="W26" s="27" t="n">
        <v>17</v>
      </c>
      <c r="X26" s="28" t="n"/>
      <c r="Y26" s="28" t="n"/>
      <c r="Z26" s="28" t="n"/>
      <c r="AA26" s="28" t="n">
        <v>0.0025</v>
      </c>
      <c r="AB26" s="29" t="n">
        <v>6</v>
      </c>
      <c r="AC26" s="28" t="n"/>
      <c r="AD26" s="28" t="n">
        <v>0.08749999999999999</v>
      </c>
      <c r="AE26" s="28" t="n">
        <v>0.6011</v>
      </c>
      <c r="AF26" s="29" t="n">
        <v>14.83</v>
      </c>
      <c r="AG26" s="28" t="n">
        <v>0.0431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Skyler Bell</t>
        </is>
      </c>
      <c r="C27" s="35" t="n">
        <v>5</v>
      </c>
      <c r="D27" s="35" t="inlineStr">
        <is>
          <t>24</t>
        </is>
      </c>
      <c r="E27" s="42" t="inlineStr">
        <is>
          <t>ACT</t>
        </is>
      </c>
      <c r="F27" s="24" t="inlineStr"/>
      <c r="G27" s="24" t="inlineStr"/>
      <c r="H27" s="25" t="n"/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/>
      <c r="R27" s="25" t="n"/>
      <c r="S27" s="25" t="n"/>
      <c r="T27" s="26" t="n"/>
      <c r="U27" s="25" t="n"/>
      <c r="V27" s="25" t="n"/>
      <c r="W27" s="27" t="n">
        <v>17</v>
      </c>
      <c r="X27" s="28" t="n"/>
      <c r="Y27" s="28" t="n"/>
      <c r="Z27" s="28" t="n"/>
      <c r="AA27" s="28" t="n">
        <v>0.0022</v>
      </c>
      <c r="AB27" s="29" t="n"/>
      <c r="AC27" s="28" t="n"/>
      <c r="AD27" s="28" t="n">
        <v>0.0224</v>
      </c>
      <c r="AE27" s="28" t="n">
        <v>0.65</v>
      </c>
      <c r="AF27" s="29" t="n">
        <v>12.84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Tyrell Shavers</t>
        </is>
      </c>
      <c r="C28" s="22" t="n">
        <v>6</v>
      </c>
      <c r="D28" s="22" t="inlineStr">
        <is>
          <t>27</t>
        </is>
      </c>
      <c r="E28" s="41" t="inlineStr">
        <is>
          <t>PUP</t>
        </is>
      </c>
      <c r="F28" s="24" t="inlineStr">
        <is>
          <t>BUF</t>
        </is>
      </c>
      <c r="G28" s="24" t="inlineStr">
        <is>
          <t>17</t>
        </is>
      </c>
      <c r="H28" s="25" t="n">
        <v>0.307</v>
      </c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>
        <v>0.002</v>
      </c>
      <c r="R28" s="25" t="n">
        <v>0.048</v>
      </c>
      <c r="S28" s="25" t="n">
        <v>0.652</v>
      </c>
      <c r="T28" s="26" t="n">
        <v>16.33</v>
      </c>
      <c r="U28" s="25" t="n"/>
      <c r="V28" s="25" t="n">
        <v>0.0345</v>
      </c>
      <c r="W28" s="27" t="n">
        <v>17</v>
      </c>
      <c r="X28" s="28" t="n"/>
      <c r="Y28" s="28" t="n"/>
      <c r="Z28" s="28" t="n"/>
      <c r="AA28" s="28" t="n">
        <v>0.0008</v>
      </c>
      <c r="AB28" s="29" t="n"/>
      <c r="AC28" s="28" t="n"/>
      <c r="AD28" s="28" t="n">
        <v>0.0325</v>
      </c>
      <c r="AE28" s="28" t="n">
        <v>0.6855</v>
      </c>
      <c r="AF28" s="29" t="n">
        <v>19.62</v>
      </c>
      <c r="AG28" s="28" t="n">
        <v>0.0266</v>
      </c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n"/>
      <c r="C29" s="34" t="n"/>
      <c r="D29" s="34" t="n"/>
      <c r="E29" s="34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40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Dalton Kincaid</t>
        </is>
      </c>
      <c r="C32" s="22" t="n">
        <v>1</v>
      </c>
      <c r="D32" s="22" t="inlineStr">
        <is>
          <t>26</t>
        </is>
      </c>
      <c r="E32" s="23" t="inlineStr">
        <is>
          <t>ACT</t>
        </is>
      </c>
      <c r="F32" s="24" t="inlineStr">
        <is>
          <t>BUF</t>
        </is>
      </c>
      <c r="G32" s="24" t="inlineStr">
        <is>
          <t>12</t>
        </is>
      </c>
      <c r="H32" s="25" t="n">
        <v>0.485</v>
      </c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>
        <v>0.1515</v>
      </c>
      <c r="R32" s="25" t="n">
        <v>0.1023</v>
      </c>
      <c r="S32" s="25" t="n">
        <v>0.735</v>
      </c>
      <c r="T32" s="26" t="n">
        <v>11.99</v>
      </c>
      <c r="U32" s="25" t="n">
        <v>0.09089999999999999</v>
      </c>
      <c r="V32" s="25" t="n">
        <v>0.1724</v>
      </c>
      <c r="W32" s="27" t="n">
        <v>17</v>
      </c>
      <c r="X32" s="28" t="n"/>
      <c r="Y32" s="28" t="n"/>
      <c r="Z32" s="28" t="n"/>
      <c r="AA32" s="28" t="n">
        <v>0.001</v>
      </c>
      <c r="AB32" s="29" t="n"/>
      <c r="AC32" s="28" t="n"/>
      <c r="AD32" s="28" t="n">
        <v>0.1245</v>
      </c>
      <c r="AE32" s="28" t="n">
        <v>0.7352</v>
      </c>
      <c r="AF32" s="29" t="n">
        <v>10.85</v>
      </c>
      <c r="AG32" s="28" t="n">
        <v>0.08939999999999999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Dawson Knox</t>
        </is>
      </c>
      <c r="C33" s="35" t="n">
        <v>2</v>
      </c>
      <c r="D33" s="35" t="inlineStr">
        <is>
          <t>29</t>
        </is>
      </c>
      <c r="E33" s="42" t="inlineStr">
        <is>
          <t>ACT</t>
        </is>
      </c>
      <c r="F33" s="24" t="inlineStr">
        <is>
          <t>BUF</t>
        </is>
      </c>
      <c r="G33" s="24" t="inlineStr">
        <is>
          <t>17</t>
        </is>
      </c>
      <c r="H33" s="25" t="n">
        <v>0.591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0.0667</v>
      </c>
      <c r="R33" s="25" t="n">
        <v>0.1023</v>
      </c>
      <c r="S33" s="25" t="n">
        <v>0.695</v>
      </c>
      <c r="T33" s="26" t="n">
        <v>11.89</v>
      </c>
      <c r="U33" s="25" t="n">
        <v>0.1818</v>
      </c>
      <c r="V33" s="25" t="n">
        <v>0.1379</v>
      </c>
      <c r="W33" s="27" t="n">
        <v>17</v>
      </c>
      <c r="X33" s="28" t="n"/>
      <c r="Y33" s="28" t="n"/>
      <c r="Z33" s="28" t="n"/>
      <c r="AA33" s="28" t="n">
        <v>0.0009</v>
      </c>
      <c r="AB33" s="29" t="n"/>
      <c r="AC33" s="28" t="n"/>
      <c r="AD33" s="28" t="n">
        <v>0.06950000000000001</v>
      </c>
      <c r="AE33" s="28" t="n">
        <v>0.695</v>
      </c>
      <c r="AF33" s="29" t="n">
        <v>11.43</v>
      </c>
      <c r="AG33" s="28" t="n">
        <v>0.0738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Jackson Hawes</t>
        </is>
      </c>
      <c r="C34" s="22" t="n">
        <v>3</v>
      </c>
      <c r="D34" s="22" t="inlineStr">
        <is>
          <t>25</t>
        </is>
      </c>
      <c r="E34" s="23" t="inlineStr">
        <is>
          <t>ACT</t>
        </is>
      </c>
      <c r="F34" s="24" t="inlineStr">
        <is>
          <t>BUF</t>
        </is>
      </c>
      <c r="G34" s="24" t="inlineStr">
        <is>
          <t>17</t>
        </is>
      </c>
      <c r="H34" s="25" t="n">
        <v>0.439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/>
      <c r="R34" s="25" t="n">
        <v>0.0397</v>
      </c>
      <c r="S34" s="25" t="n">
        <v>0.842</v>
      </c>
      <c r="T34" s="26" t="n">
        <v>11.69</v>
      </c>
      <c r="U34" s="25" t="n">
        <v>0.0455</v>
      </c>
      <c r="V34" s="25" t="n">
        <v>0.1034</v>
      </c>
      <c r="W34" s="27" t="n">
        <v>17</v>
      </c>
      <c r="X34" s="28" t="n"/>
      <c r="Y34" s="28" t="n"/>
      <c r="Z34" s="28" t="n"/>
      <c r="AA34" s="28" t="n">
        <v>0.0009</v>
      </c>
      <c r="AB34" s="29" t="n"/>
      <c r="AC34" s="28" t="n"/>
      <c r="AD34" s="28" t="n">
        <v>0.0286</v>
      </c>
      <c r="AE34" s="28" t="n">
        <v>0.8421</v>
      </c>
      <c r="AF34" s="29" t="n">
        <v>11.69</v>
      </c>
      <c r="AG34" s="28" t="n">
        <v>0.0799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Keleki Latu</t>
        </is>
      </c>
      <c r="C35" s="35" t="n">
        <v>4</v>
      </c>
      <c r="D35" s="35" t="inlineStr">
        <is>
          <t>24</t>
        </is>
      </c>
      <c r="E35" s="42" t="inlineStr">
        <is>
          <t>ACT</t>
        </is>
      </c>
      <c r="F35" s="24" t="inlineStr">
        <is>
          <t>BUF</t>
        </is>
      </c>
      <c r="G35" s="24" t="inlineStr">
        <is>
          <t>5</t>
        </is>
      </c>
      <c r="H35" s="25" t="n">
        <v>0.234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>
        <v>0.008399999999999999</v>
      </c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0.0009</v>
      </c>
      <c r="AB35" s="29" t="n"/>
      <c r="AC35" s="28" t="n"/>
      <c r="AD35" s="28" t="n">
        <v>0.007</v>
      </c>
      <c r="AE35" s="28" t="n">
        <v>1</v>
      </c>
      <c r="AF35" s="29" t="n">
        <v>8.75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CAR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1034</v>
      </c>
      <c r="D4" s="10">
        <f>$C$4/$B$4</f>
        <v/>
      </c>
      <c r="E4" s="11" t="n">
        <v>0.5665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1011</v>
      </c>
      <c r="M4" s="14" t="n">
        <v>59.4706</v>
      </c>
      <c r="N4" s="15" t="n">
        <v>0.544</v>
      </c>
      <c r="O4" s="13" t="n">
        <v>515</v>
      </c>
      <c r="P4" s="13" t="n">
        <v>461</v>
      </c>
      <c r="Q4" s="16" t="n">
        <v>6.4155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36.8</v>
      </c>
      <c r="C7" s="11" t="n">
        <v>0.3611</v>
      </c>
      <c r="D7" s="10">
        <f>$B$7*$C$7</f>
        <v/>
      </c>
      <c r="E7" s="10">
        <f>$B$7-$D$7</f>
        <v/>
      </c>
      <c r="F7" s="12" t="n">
        <v>3513</v>
      </c>
      <c r="G7" s="12" t="n">
        <v>1936</v>
      </c>
      <c r="H7" s="12">
        <f>$F$7</f>
        <v/>
      </c>
      <c r="L7" s="13" t="n">
        <v>3304</v>
      </c>
      <c r="M7" s="13" t="n">
        <v>1977</v>
      </c>
      <c r="N7" s="14" t="n">
        <v>24</v>
      </c>
      <c r="O7" s="14" t="n">
        <v>9</v>
      </c>
      <c r="P7" s="14" t="n">
        <v>33</v>
      </c>
      <c r="Q7" s="15" t="n">
        <v>0.2727272727272727</v>
      </c>
    </row>
    <row r="8"/>
    <row r="9">
      <c r="A9" s="5" t="inlineStr">
        <is>
          <t>NOTES</t>
        </is>
      </c>
      <c r="B9" s="18" t="inlineStr">
        <is>
          <t>16% of targets and 58% of carries left this roster.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Bryce Young</t>
        </is>
      </c>
      <c r="C12" s="22" t="n">
        <v>1</v>
      </c>
      <c r="D12" s="22" t="inlineStr">
        <is>
          <t>25</t>
        </is>
      </c>
      <c r="E12" s="23" t="inlineStr">
        <is>
          <t>ACT</t>
        </is>
      </c>
      <c r="F12" s="24" t="inlineStr">
        <is>
          <t>CAR</t>
        </is>
      </c>
      <c r="G12" s="24" t="inlineStr">
        <is>
          <t>16</t>
        </is>
      </c>
      <c r="H12" s="25" t="n">
        <v>0.944</v>
      </c>
      <c r="I12" s="25" t="n">
        <v>0.9282</v>
      </c>
      <c r="J12" s="25" t="n">
        <v>0.621</v>
      </c>
      <c r="K12" s="26" t="n">
        <v>6.11</v>
      </c>
      <c r="L12" s="25" t="n">
        <v>0.022</v>
      </c>
      <c r="M12" s="25" t="n">
        <v>0.08799999999999999</v>
      </c>
      <c r="N12" s="26" t="n">
        <v>6.17</v>
      </c>
      <c r="O12" s="25" t="n">
        <v>0.1746</v>
      </c>
      <c r="P12" s="25" t="n">
        <v>0.2222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0.8037</v>
      </c>
      <c r="Y12" s="28" t="n">
        <v>0.621</v>
      </c>
      <c r="Z12" s="28" t="n">
        <v>0.022</v>
      </c>
      <c r="AA12" s="28" t="n">
        <v>0.102</v>
      </c>
      <c r="AB12" s="29" t="n">
        <v>6.41</v>
      </c>
      <c r="AC12" s="28" t="n">
        <v>0.2939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Kenny Pickett</t>
        </is>
      </c>
      <c r="C13" s="35" t="n">
        <v>2</v>
      </c>
      <c r="D13" s="35" t="inlineStr">
        <is>
          <t>28</t>
        </is>
      </c>
      <c r="E13" s="42" t="inlineStr">
        <is>
          <t>ACT</t>
        </is>
      </c>
      <c r="F13" s="24" t="inlineStr">
        <is>
          <t>LV</t>
        </is>
      </c>
      <c r="G13" s="24" t="inlineStr">
        <is>
          <t>6</t>
        </is>
      </c>
      <c r="H13" s="25" t="n">
        <v>0.438</v>
      </c>
      <c r="I13" s="25" t="n">
        <v>0.08740000000000001</v>
      </c>
      <c r="J13" s="25" t="n">
        <v>0.616</v>
      </c>
      <c r="K13" s="26" t="n">
        <v>5.54</v>
      </c>
      <c r="L13" s="25" t="n">
        <v>0.029</v>
      </c>
      <c r="M13" s="25" t="n">
        <v>0.0138</v>
      </c>
      <c r="N13" s="26" t="n">
        <v>2.25</v>
      </c>
      <c r="O13" s="25" t="n"/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0.1186</v>
      </c>
      <c r="Y13" s="28" t="n">
        <v>0.616</v>
      </c>
      <c r="Z13" s="28" t="n">
        <v>0.029</v>
      </c>
      <c r="AA13" s="28" t="n">
        <v>0.0156</v>
      </c>
      <c r="AB13" s="29" t="n">
        <v>2.53</v>
      </c>
      <c r="AC13" s="28" t="n">
        <v>0.0583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Haynes King</t>
        </is>
      </c>
      <c r="C14" s="22" t="n">
        <v>3</v>
      </c>
      <c r="D14" s="22" t="inlineStr">
        <is>
          <t>25</t>
        </is>
      </c>
      <c r="E14" s="41" t="inlineStr">
        <is>
          <t>QUESTIONABLE</t>
        </is>
      </c>
      <c r="F14" s="24" t="inlineStr"/>
      <c r="G14" s="24" t="inlineStr"/>
      <c r="H14" s="25" t="n"/>
      <c r="I14" s="25" t="n"/>
      <c r="J14" s="25" t="n"/>
      <c r="K14" s="26" t="n"/>
      <c r="L14" s="25" t="n"/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0.06850000000000001</v>
      </c>
      <c r="Y14" s="28" t="n">
        <v>0.65</v>
      </c>
      <c r="Z14" s="28" t="n">
        <v>0.022</v>
      </c>
      <c r="AA14" s="28" t="n">
        <v>0.0117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Chuba Hubbard</t>
        </is>
      </c>
      <c r="C16" s="22" t="n">
        <v>1</v>
      </c>
      <c r="D16" s="22" t="inlineStr">
        <is>
          <t>27</t>
        </is>
      </c>
      <c r="E16" s="41" t="inlineStr">
        <is>
          <t>QUESTIONABLE</t>
        </is>
      </c>
      <c r="F16" s="24" t="inlineStr">
        <is>
          <t>CAR</t>
        </is>
      </c>
      <c r="G16" s="24" t="inlineStr">
        <is>
          <t>15</t>
        </is>
      </c>
      <c r="H16" s="25" t="n">
        <v>0.58</v>
      </c>
      <c r="I16" s="25" t="n"/>
      <c r="J16" s="25" t="n"/>
      <c r="K16" s="26" t="n"/>
      <c r="L16" s="25" t="n"/>
      <c r="M16" s="25" t="n">
        <v>0.3025</v>
      </c>
      <c r="N16" s="26" t="n">
        <v>4.09</v>
      </c>
      <c r="O16" s="25" t="n">
        <v>0.2698</v>
      </c>
      <c r="P16" s="25" t="n">
        <v>0.1111</v>
      </c>
      <c r="Q16" s="25" t="n">
        <v>0.1042</v>
      </c>
      <c r="R16" s="25" t="n">
        <v>0.0813</v>
      </c>
      <c r="S16" s="25" t="n">
        <v>0.803</v>
      </c>
      <c r="T16" s="26" t="n">
        <v>6.1</v>
      </c>
      <c r="U16" s="25" t="n">
        <v>0.0896</v>
      </c>
      <c r="V16" s="25" t="n">
        <v>0.125</v>
      </c>
      <c r="W16" s="27" t="n">
        <v>17</v>
      </c>
      <c r="X16" s="28" t="n"/>
      <c r="Y16" s="28" t="n"/>
      <c r="Z16" s="28" t="n"/>
      <c r="AA16" s="28" t="n">
        <v>0.5810999999999999</v>
      </c>
      <c r="AB16" s="29" t="n">
        <v>4.19</v>
      </c>
      <c r="AC16" s="28" t="n">
        <v>0.4221</v>
      </c>
      <c r="AD16" s="28" t="n">
        <v>0.08790000000000001</v>
      </c>
      <c r="AE16" s="28" t="n">
        <v>0.803</v>
      </c>
      <c r="AF16" s="29" t="n">
        <v>5.6</v>
      </c>
      <c r="AG16" s="28" t="n">
        <v>0.09039999999999999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Jonathon Brooks</t>
        </is>
      </c>
      <c r="C17" s="35" t="n">
        <v>2</v>
      </c>
      <c r="D17" s="35" t="inlineStr">
        <is>
          <t>23</t>
        </is>
      </c>
      <c r="E17" s="42" t="inlineStr">
        <is>
          <t>ACT</t>
        </is>
      </c>
      <c r="F17" s="24" t="inlineStr"/>
      <c r="G17" s="24" t="inlineStr"/>
      <c r="H17" s="25" t="n">
        <v>0.11</v>
      </c>
      <c r="I17" s="25" t="n"/>
      <c r="J17" s="25" t="n"/>
      <c r="K17" s="26" t="n"/>
      <c r="L17" s="25" t="n"/>
      <c r="M17" s="25" t="n"/>
      <c r="N17" s="26" t="n"/>
      <c r="O17" s="25" t="n"/>
      <c r="P17" s="25" t="n"/>
      <c r="Q17" s="25" t="n">
        <v>0.0058</v>
      </c>
      <c r="R17" s="25" t="n"/>
      <c r="S17" s="25" t="n"/>
      <c r="T17" s="26" t="n"/>
      <c r="U17" s="25" t="n"/>
      <c r="V17" s="25" t="n"/>
      <c r="W17" s="27" t="n">
        <v>17</v>
      </c>
      <c r="X17" s="28" t="n"/>
      <c r="Y17" s="28" t="n"/>
      <c r="Z17" s="28" t="n"/>
      <c r="AA17" s="28" t="n">
        <v>0.1224</v>
      </c>
      <c r="AB17" s="29" t="n">
        <v>2.44</v>
      </c>
      <c r="AC17" s="28" t="n"/>
      <c r="AD17" s="28" t="n">
        <v>0.0256</v>
      </c>
      <c r="AE17" s="28" t="n">
        <v>1</v>
      </c>
      <c r="AF17" s="29" t="n">
        <v>7.67</v>
      </c>
      <c r="AG17" s="28" t="n"/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AJ Dillon</t>
        </is>
      </c>
      <c r="C18" s="22" t="n">
        <v>3</v>
      </c>
      <c r="D18" s="22" t="inlineStr">
        <is>
          <t>28</t>
        </is>
      </c>
      <c r="E18" s="23" t="inlineStr">
        <is>
          <t>ACT</t>
        </is>
      </c>
      <c r="F18" s="24" t="inlineStr">
        <is>
          <t>PHI</t>
        </is>
      </c>
      <c r="G18" s="24" t="inlineStr">
        <is>
          <t>7</t>
        </is>
      </c>
      <c r="H18" s="25" t="n">
        <v>0.231</v>
      </c>
      <c r="I18" s="25" t="n"/>
      <c r="J18" s="25" t="n"/>
      <c r="K18" s="26" t="n"/>
      <c r="L18" s="25" t="n"/>
      <c r="M18" s="25" t="n">
        <v>0.026</v>
      </c>
      <c r="N18" s="26" t="n">
        <v>3.44</v>
      </c>
      <c r="O18" s="25" t="n">
        <v>0.0244</v>
      </c>
      <c r="P18" s="25" t="n"/>
      <c r="Q18" s="25" t="n"/>
      <c r="R18" s="25" t="n">
        <v>0.0065</v>
      </c>
      <c r="S18" s="25" t="n">
        <v>0.786</v>
      </c>
      <c r="T18" s="26" t="n">
        <v>10.14</v>
      </c>
      <c r="U18" s="25" t="n">
        <v>0.0185</v>
      </c>
      <c r="V18" s="25" t="n"/>
      <c r="W18" s="27" t="n">
        <v>17</v>
      </c>
      <c r="X18" s="28" t="n"/>
      <c r="Y18" s="28" t="n"/>
      <c r="Z18" s="28" t="n"/>
      <c r="AA18" s="28" t="n">
        <v>0.06320000000000001</v>
      </c>
      <c r="AB18" s="29" t="n">
        <v>3.54</v>
      </c>
      <c r="AC18" s="28" t="n">
        <v>0.2257</v>
      </c>
      <c r="AD18" s="28" t="n">
        <v>0.0127</v>
      </c>
      <c r="AE18" s="28" t="n">
        <v>0.9011</v>
      </c>
      <c r="AF18" s="29" t="n">
        <v>9.76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Anthony Tyus</t>
        </is>
      </c>
      <c r="C19" s="35" t="n">
        <v>4</v>
      </c>
      <c r="D19" s="35" t="inlineStr">
        <is>
          <t>23</t>
        </is>
      </c>
      <c r="E19" s="42" t="inlineStr">
        <is>
          <t>ACT</t>
        </is>
      </c>
      <c r="F19" s="24" t="inlineStr"/>
      <c r="G19" s="24" t="inlineStr"/>
      <c r="H19" s="25" t="n"/>
      <c r="I19" s="25" t="n"/>
      <c r="J19" s="25" t="n"/>
      <c r="K19" s="26" t="n"/>
      <c r="L19" s="25" t="n"/>
      <c r="M19" s="25" t="n"/>
      <c r="N19" s="26" t="n"/>
      <c r="O19" s="25" t="n"/>
      <c r="P19" s="25" t="n"/>
      <c r="Q19" s="25" t="n"/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0.0197</v>
      </c>
      <c r="AB19" s="29" t="n">
        <v>4.13</v>
      </c>
      <c r="AC19" s="28" t="n"/>
      <c r="AD19" s="28" t="n">
        <v>0.0045</v>
      </c>
      <c r="AE19" s="28" t="n">
        <v>0.75</v>
      </c>
      <c r="AF19" s="29" t="n">
        <v>7.13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Mason Stokke</t>
        </is>
      </c>
      <c r="C20" s="22" t="n">
        <v>5</v>
      </c>
      <c r="D20" s="22" t="inlineStr"/>
      <c r="E20" s="23" t="inlineStr">
        <is>
          <t>ACT</t>
        </is>
      </c>
      <c r="F20" s="24" t="inlineStr"/>
      <c r="G20" s="24" t="inlineStr"/>
      <c r="H20" s="25" t="n"/>
      <c r="I20" s="25" t="n"/>
      <c r="J20" s="25" t="n"/>
      <c r="K20" s="26" t="n"/>
      <c r="L20" s="25" t="n"/>
      <c r="M20" s="25" t="n"/>
      <c r="N20" s="26" t="n"/>
      <c r="O20" s="25" t="n"/>
      <c r="P20" s="25" t="n"/>
      <c r="Q20" s="25" t="n"/>
      <c r="R20" s="25" t="n"/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0.0199</v>
      </c>
      <c r="AB20" s="29" t="n">
        <v>4.13</v>
      </c>
      <c r="AC20" s="28" t="n"/>
      <c r="AD20" s="28" t="n">
        <v>0.0045</v>
      </c>
      <c r="AE20" s="28" t="n">
        <v>0.75</v>
      </c>
      <c r="AF20" s="29" t="n">
        <v>7.13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Tetairoa McMillan</t>
        </is>
      </c>
      <c r="C23" s="35" t="n">
        <v>1</v>
      </c>
      <c r="D23" s="35" t="inlineStr">
        <is>
          <t>23</t>
        </is>
      </c>
      <c r="E23" s="42" t="inlineStr">
        <is>
          <t>ACT</t>
        </is>
      </c>
      <c r="F23" s="24" t="inlineStr">
        <is>
          <t>CAR</t>
        </is>
      </c>
      <c r="G23" s="24" t="inlineStr">
        <is>
          <t>17</t>
        </is>
      </c>
      <c r="H23" s="25" t="n">
        <v>0.872</v>
      </c>
      <c r="I23" s="25" t="n"/>
      <c r="J23" s="25" t="n"/>
      <c r="K23" s="26" t="n"/>
      <c r="L23" s="25" t="n"/>
      <c r="M23" s="25" t="n"/>
      <c r="N23" s="26" t="n"/>
      <c r="O23" s="25" t="n"/>
      <c r="P23" s="25" t="n"/>
      <c r="Q23" s="25" t="n"/>
      <c r="R23" s="25" t="n">
        <v>0.2542</v>
      </c>
      <c r="S23" s="25" t="n">
        <v>0.574</v>
      </c>
      <c r="T23" s="26" t="n">
        <v>14.49</v>
      </c>
      <c r="U23" s="25" t="n">
        <v>0.2239</v>
      </c>
      <c r="V23" s="25" t="n">
        <v>0.2917</v>
      </c>
      <c r="W23" s="27" t="n">
        <v>17</v>
      </c>
      <c r="X23" s="28" t="n"/>
      <c r="Y23" s="28" t="n"/>
      <c r="Z23" s="28" t="n"/>
      <c r="AA23" s="28" t="n">
        <v>0.008699999999999999</v>
      </c>
      <c r="AB23" s="29" t="n"/>
      <c r="AC23" s="28" t="n"/>
      <c r="AD23" s="28" t="n">
        <v>0.2323</v>
      </c>
      <c r="AE23" s="28" t="n">
        <v>0.5738</v>
      </c>
      <c r="AF23" s="29" t="n">
        <v>14.49</v>
      </c>
      <c r="AG23" s="28" t="n">
        <v>0.2769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Jalen Coker</t>
        </is>
      </c>
      <c r="C24" s="22" t="n">
        <v>2</v>
      </c>
      <c r="D24" s="22" t="inlineStr">
        <is>
          <t>24</t>
        </is>
      </c>
      <c r="E24" s="23" t="inlineStr">
        <is>
          <t>ACT</t>
        </is>
      </c>
      <c r="F24" s="24" t="inlineStr">
        <is>
          <t>CAR</t>
        </is>
      </c>
      <c r="G24" s="24" t="inlineStr">
        <is>
          <t>11</t>
        </is>
      </c>
      <c r="H24" s="25" t="n">
        <v>0.6820000000000001</v>
      </c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>
        <v>0.0888</v>
      </c>
      <c r="R24" s="25" t="n">
        <v>0.0896</v>
      </c>
      <c r="S24" s="25" t="n">
        <v>0.741</v>
      </c>
      <c r="T24" s="26" t="n">
        <v>13.06</v>
      </c>
      <c r="U24" s="25" t="n">
        <v>0.0448</v>
      </c>
      <c r="V24" s="25" t="n">
        <v>0.125</v>
      </c>
      <c r="W24" s="27" t="n">
        <v>17</v>
      </c>
      <c r="X24" s="28" t="n"/>
      <c r="Y24" s="28" t="n"/>
      <c r="Z24" s="28" t="n"/>
      <c r="AA24" s="28" t="n">
        <v>0.0014</v>
      </c>
      <c r="AB24" s="29" t="n"/>
      <c r="AC24" s="28" t="n"/>
      <c r="AD24" s="28" t="n">
        <v>0.09</v>
      </c>
      <c r="AE24" s="28" t="n">
        <v>0.7405</v>
      </c>
      <c r="AF24" s="29" t="n">
        <v>13.42</v>
      </c>
      <c r="AG24" s="28" t="n">
        <v>0.1065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Xavier Legette</t>
        </is>
      </c>
      <c r="C25" s="35" t="n">
        <v>3</v>
      </c>
      <c r="D25" s="35" t="inlineStr">
        <is>
          <t>25</t>
        </is>
      </c>
      <c r="E25" s="36" t="inlineStr">
        <is>
          <t>QUESTIONABLE</t>
        </is>
      </c>
      <c r="F25" s="24" t="inlineStr">
        <is>
          <t>CAR</t>
        </is>
      </c>
      <c r="G25" s="24" t="inlineStr">
        <is>
          <t>15</t>
        </is>
      </c>
      <c r="H25" s="25" t="n">
        <v>0.6860000000000001</v>
      </c>
      <c r="I25" s="25" t="n"/>
      <c r="J25" s="25" t="n"/>
      <c r="K25" s="26" t="n"/>
      <c r="L25" s="25" t="n"/>
      <c r="M25" s="25" t="n">
        <v>0.0023</v>
      </c>
      <c r="N25" s="26" t="n"/>
      <c r="O25" s="25" t="n"/>
      <c r="P25" s="25" t="n"/>
      <c r="Q25" s="25" t="n">
        <v>0.1622</v>
      </c>
      <c r="R25" s="25" t="n">
        <v>0.1333</v>
      </c>
      <c r="S25" s="25" t="n">
        <v>0.5610000000000001</v>
      </c>
      <c r="T25" s="26" t="n">
        <v>10.28</v>
      </c>
      <c r="U25" s="25" t="n">
        <v>0.1642</v>
      </c>
      <c r="V25" s="25" t="n">
        <v>0.125</v>
      </c>
      <c r="W25" s="27" t="n">
        <v>17</v>
      </c>
      <c r="X25" s="28" t="n"/>
      <c r="Y25" s="28" t="n"/>
      <c r="Z25" s="28" t="n"/>
      <c r="AA25" s="28" t="n">
        <v>0.0036</v>
      </c>
      <c r="AB25" s="29" t="n">
        <v>3.43</v>
      </c>
      <c r="AC25" s="28" t="n"/>
      <c r="AD25" s="28" t="n">
        <v>0.1056</v>
      </c>
      <c r="AE25" s="28" t="n">
        <v>0.5611</v>
      </c>
      <c r="AF25" s="29" t="n">
        <v>10.24</v>
      </c>
      <c r="AG25" s="28" t="n">
        <v>0.1397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John Metchie</t>
        </is>
      </c>
      <c r="C26" s="22" t="n">
        <v>4</v>
      </c>
      <c r="D26" s="22" t="inlineStr">
        <is>
          <t>26</t>
        </is>
      </c>
      <c r="E26" s="23" t="inlineStr">
        <is>
          <t>ACT</t>
        </is>
      </c>
      <c r="F26" s="24" t="inlineStr">
        <is>
          <t>PHI</t>
        </is>
      </c>
      <c r="G26" s="24" t="inlineStr">
        <is>
          <t>7</t>
        </is>
      </c>
      <c r="H26" s="25" t="n">
        <v>0.43</v>
      </c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>
        <v>0.06759999999999999</v>
      </c>
      <c r="R26" s="25" t="n">
        <v>0.0086</v>
      </c>
      <c r="S26" s="25" t="n">
        <v>0.597</v>
      </c>
      <c r="T26" s="26" t="n">
        <v>10.26</v>
      </c>
      <c r="U26" s="25" t="n"/>
      <c r="V26" s="25" t="n"/>
      <c r="W26" s="27" t="n">
        <v>17</v>
      </c>
      <c r="X26" s="28" t="n"/>
      <c r="Y26" s="28" t="n"/>
      <c r="Z26" s="28" t="n"/>
      <c r="AA26" s="28" t="n">
        <v>0.0089</v>
      </c>
      <c r="AB26" s="29" t="n">
        <v>4</v>
      </c>
      <c r="AC26" s="28" t="n"/>
      <c r="AD26" s="28" t="n">
        <v>0.1345</v>
      </c>
      <c r="AE26" s="28" t="n">
        <v>0.7298</v>
      </c>
      <c r="AF26" s="29" t="n">
        <v>9.77</v>
      </c>
      <c r="AG26" s="28" t="n">
        <v>0.0475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Jimmy Horn</t>
        </is>
      </c>
      <c r="C27" s="35" t="n">
        <v>5</v>
      </c>
      <c r="D27" s="35" t="inlineStr">
        <is>
          <t>23</t>
        </is>
      </c>
      <c r="E27" s="42" t="inlineStr">
        <is>
          <t>ACT</t>
        </is>
      </c>
      <c r="F27" s="24" t="inlineStr">
        <is>
          <t>CAR</t>
        </is>
      </c>
      <c r="G27" s="24" t="inlineStr">
        <is>
          <t>13</t>
        </is>
      </c>
      <c r="H27" s="25" t="n">
        <v>0.192</v>
      </c>
      <c r="I27" s="25" t="n"/>
      <c r="J27" s="25" t="n"/>
      <c r="K27" s="26" t="n"/>
      <c r="L27" s="25" t="n"/>
      <c r="M27" s="25" t="n">
        <v>0.0181</v>
      </c>
      <c r="N27" s="26" t="n"/>
      <c r="O27" s="25" t="n"/>
      <c r="P27" s="25" t="n"/>
      <c r="Q27" s="25" t="n"/>
      <c r="R27" s="25" t="n">
        <v>0.0312</v>
      </c>
      <c r="S27" s="25" t="n">
        <v>0.733</v>
      </c>
      <c r="T27" s="26" t="n"/>
      <c r="U27" s="25" t="n">
        <v>0.0448</v>
      </c>
      <c r="V27" s="25" t="n"/>
      <c r="W27" s="27" t="n">
        <v>17</v>
      </c>
      <c r="X27" s="28" t="n"/>
      <c r="Y27" s="28" t="n"/>
      <c r="Z27" s="28" t="n"/>
      <c r="AA27" s="28" t="n">
        <v>0.0052</v>
      </c>
      <c r="AB27" s="29" t="n"/>
      <c r="AC27" s="28" t="n"/>
      <c r="AD27" s="28" t="n">
        <v>0.024</v>
      </c>
      <c r="AE27" s="28" t="n">
        <v>0.7333</v>
      </c>
      <c r="AF27" s="29" t="n">
        <v>9.82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David Moore</t>
        </is>
      </c>
      <c r="C28" s="22" t="n">
        <v>6</v>
      </c>
      <c r="D28" s="22" t="inlineStr">
        <is>
          <t>31</t>
        </is>
      </c>
      <c r="E28" s="23" t="inlineStr">
        <is>
          <t>ACT</t>
        </is>
      </c>
      <c r="F28" s="24" t="inlineStr">
        <is>
          <t>CAR</t>
        </is>
      </c>
      <c r="G28" s="24" t="inlineStr">
        <is>
          <t>4</t>
        </is>
      </c>
      <c r="H28" s="25" t="n">
        <v>0.372</v>
      </c>
      <c r="I28" s="25" t="n"/>
      <c r="J28" s="25" t="n"/>
      <c r="K28" s="26" t="n"/>
      <c r="L28" s="25" t="n"/>
      <c r="M28" s="25" t="n">
        <v>0.0023</v>
      </c>
      <c r="N28" s="26" t="n"/>
      <c r="O28" s="25" t="n"/>
      <c r="P28" s="25" t="n"/>
      <c r="Q28" s="25" t="n">
        <v>0.11</v>
      </c>
      <c r="R28" s="25" t="n">
        <v>0.0021</v>
      </c>
      <c r="S28" s="25" t="n">
        <v>0.5610000000000001</v>
      </c>
      <c r="T28" s="26" t="n">
        <v>10.97</v>
      </c>
      <c r="U28" s="25" t="n"/>
      <c r="V28" s="25" t="n"/>
      <c r="W28" s="27" t="n">
        <v>17</v>
      </c>
      <c r="X28" s="28" t="n"/>
      <c r="Y28" s="28" t="n"/>
      <c r="Z28" s="28" t="n"/>
      <c r="AA28" s="28" t="n">
        <v>0.0027</v>
      </c>
      <c r="AB28" s="29" t="n">
        <v>6</v>
      </c>
      <c r="AC28" s="28" t="n"/>
      <c r="AD28" s="28" t="n">
        <v>0.048</v>
      </c>
      <c r="AE28" s="28" t="n">
        <v>0.6898</v>
      </c>
      <c r="AF28" s="29" t="n">
        <v>11.84</v>
      </c>
      <c r="AG28" s="28" t="n">
        <v>0.1089</v>
      </c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Brycen Tremayne</t>
        </is>
      </c>
      <c r="C29" s="35" t="n">
        <v>7</v>
      </c>
      <c r="D29" s="35" t="inlineStr">
        <is>
          <t>26</t>
        </is>
      </c>
      <c r="E29" s="42" t="inlineStr">
        <is>
          <t>ACT</t>
        </is>
      </c>
      <c r="F29" s="24" t="inlineStr">
        <is>
          <t>CAR</t>
        </is>
      </c>
      <c r="G29" s="24" t="inlineStr">
        <is>
          <t>16</t>
        </is>
      </c>
      <c r="H29" s="25" t="n">
        <v>0.207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>
        <v>0.002</v>
      </c>
      <c r="R29" s="25" t="n">
        <v>0.0375</v>
      </c>
      <c r="S29" s="25" t="n">
        <v>0.778</v>
      </c>
      <c r="T29" s="26" t="n">
        <v>11.43</v>
      </c>
      <c r="U29" s="25" t="n">
        <v>0.0149</v>
      </c>
      <c r="V29" s="25" t="n"/>
      <c r="W29" s="27" t="n">
        <v>17</v>
      </c>
      <c r="X29" s="28" t="n"/>
      <c r="Y29" s="28" t="n"/>
      <c r="Z29" s="28" t="n"/>
      <c r="AA29" s="28" t="n">
        <v>0.001</v>
      </c>
      <c r="AB29" s="29" t="n"/>
      <c r="AC29" s="28" t="n"/>
      <c r="AD29" s="28" t="n">
        <v>0.0221</v>
      </c>
      <c r="AE29" s="28" t="n">
        <v>0.7933</v>
      </c>
      <c r="AF29" s="29" t="n">
        <v>10.53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Casey Washington</t>
        </is>
      </c>
      <c r="C30" s="22" t="n">
        <v>8</v>
      </c>
      <c r="D30" s="22" t="inlineStr">
        <is>
          <t>25</t>
        </is>
      </c>
      <c r="E30" s="23" t="inlineStr">
        <is>
          <t>ACT</t>
        </is>
      </c>
      <c r="F30" s="24" t="inlineStr">
        <is>
          <t>ATL</t>
        </is>
      </c>
      <c r="G30" s="24" t="inlineStr">
        <is>
          <t>7</t>
        </is>
      </c>
      <c r="H30" s="25" t="n">
        <v>0.256</v>
      </c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>
        <v>0.0037</v>
      </c>
      <c r="R30" s="25" t="n">
        <v>0.027</v>
      </c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0.0024</v>
      </c>
      <c r="AB30" s="29" t="n"/>
      <c r="AC30" s="28" t="n"/>
      <c r="AD30" s="28" t="n">
        <v>0.0048</v>
      </c>
      <c r="AE30" s="28" t="n">
        <v>0.4576</v>
      </c>
      <c r="AF30" s="29" t="n">
        <v>15.43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Darren Waller</t>
        </is>
      </c>
      <c r="C32" s="22" t="n">
        <v>1</v>
      </c>
      <c r="D32" s="22" t="inlineStr">
        <is>
          <t>33</t>
        </is>
      </c>
      <c r="E32" s="23" t="inlineStr">
        <is>
          <t>ACT</t>
        </is>
      </c>
      <c r="F32" s="24" t="inlineStr">
        <is>
          <t>MIA</t>
        </is>
      </c>
      <c r="G32" s="24" t="inlineStr">
        <is>
          <t>9</t>
        </is>
      </c>
      <c r="H32" s="25" t="n">
        <v>0.519</v>
      </c>
      <c r="I32" s="25" t="n"/>
      <c r="J32" s="25" t="n"/>
      <c r="K32" s="26" t="n"/>
      <c r="L32" s="25" t="n"/>
      <c r="M32" s="25" t="n">
        <v>0.0024</v>
      </c>
      <c r="N32" s="26" t="n"/>
      <c r="O32" s="25" t="n"/>
      <c r="P32" s="25" t="n"/>
      <c r="Q32" s="25" t="n"/>
      <c r="R32" s="25" t="n">
        <v>0.0736</v>
      </c>
      <c r="S32" s="25" t="n">
        <v>0.705</v>
      </c>
      <c r="T32" s="26" t="n">
        <v>11.38</v>
      </c>
      <c r="U32" s="25" t="n">
        <v>0.1167</v>
      </c>
      <c r="V32" s="25" t="n">
        <v>0.2609</v>
      </c>
      <c r="W32" s="27" t="n">
        <v>17</v>
      </c>
      <c r="X32" s="28" t="n"/>
      <c r="Y32" s="28" t="n"/>
      <c r="Z32" s="28" t="n"/>
      <c r="AA32" s="28" t="n">
        <v>0.0028</v>
      </c>
      <c r="AB32" s="29" t="n">
        <v>4</v>
      </c>
      <c r="AC32" s="28" t="n"/>
      <c r="AD32" s="28" t="n">
        <v>0.108</v>
      </c>
      <c r="AE32" s="28" t="n">
        <v>0.7048</v>
      </c>
      <c r="AF32" s="29" t="n">
        <v>10.99</v>
      </c>
      <c r="AG32" s="28" t="n">
        <v>0.155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Tommy Tremble</t>
        </is>
      </c>
      <c r="C33" s="35" t="n">
        <v>2</v>
      </c>
      <c r="D33" s="35" t="inlineStr">
        <is>
          <t>26</t>
        </is>
      </c>
      <c r="E33" s="42" t="inlineStr">
        <is>
          <t>ACT</t>
        </is>
      </c>
      <c r="F33" s="24" t="inlineStr">
        <is>
          <t>CAR</t>
        </is>
      </c>
      <c r="G33" s="24" t="inlineStr">
        <is>
          <t>17</t>
        </is>
      </c>
      <c r="H33" s="25" t="n">
        <v>0.607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0.0618</v>
      </c>
      <c r="R33" s="25" t="n">
        <v>0.0771</v>
      </c>
      <c r="S33" s="25" t="n">
        <v>0.725</v>
      </c>
      <c r="T33" s="26" t="n">
        <v>9.279999999999999</v>
      </c>
      <c r="U33" s="25" t="n">
        <v>0.0746</v>
      </c>
      <c r="V33" s="25" t="n">
        <v>0.0833</v>
      </c>
      <c r="W33" s="27" t="n">
        <v>17</v>
      </c>
      <c r="X33" s="28" t="n"/>
      <c r="Y33" s="28" t="n"/>
      <c r="Z33" s="28" t="n"/>
      <c r="AA33" s="28" t="n">
        <v>0.001</v>
      </c>
      <c r="AB33" s="29" t="n"/>
      <c r="AC33" s="28" t="n"/>
      <c r="AD33" s="28" t="n">
        <v>0.0616</v>
      </c>
      <c r="AE33" s="28" t="n">
        <v>0.7248</v>
      </c>
      <c r="AF33" s="29" t="n">
        <v>9.27</v>
      </c>
      <c r="AG33" s="28" t="n">
        <v>0.1101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Ja'Tavion Sanders</t>
        </is>
      </c>
      <c r="C34" s="22" t="n">
        <v>3</v>
      </c>
      <c r="D34" s="22" t="inlineStr">
        <is>
          <t>23</t>
        </is>
      </c>
      <c r="E34" s="23" t="inlineStr">
        <is>
          <t>ACT</t>
        </is>
      </c>
      <c r="F34" s="24" t="inlineStr">
        <is>
          <t>CAR</t>
        </is>
      </c>
      <c r="G34" s="24" t="inlineStr">
        <is>
          <t>13</t>
        </is>
      </c>
      <c r="H34" s="25" t="n">
        <v>0.512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0.083</v>
      </c>
      <c r="R34" s="25" t="n">
        <v>0.0708</v>
      </c>
      <c r="S34" s="25" t="n">
        <v>0.8169999999999999</v>
      </c>
      <c r="T34" s="26" t="n">
        <v>8.17</v>
      </c>
      <c r="U34" s="25" t="n">
        <v>0.1343</v>
      </c>
      <c r="V34" s="25" t="n">
        <v>0.0417</v>
      </c>
      <c r="W34" s="27" t="n">
        <v>17</v>
      </c>
      <c r="X34" s="28" t="n"/>
      <c r="Y34" s="28" t="n"/>
      <c r="Z34" s="28" t="n"/>
      <c r="AA34" s="28" t="n">
        <v>0.0012</v>
      </c>
      <c r="AB34" s="29" t="n"/>
      <c r="AC34" s="28" t="n"/>
      <c r="AD34" s="28" t="n">
        <v>0.0861</v>
      </c>
      <c r="AE34" s="28" t="n">
        <v>0.8166</v>
      </c>
      <c r="AF34" s="29" t="n">
        <v>8.58</v>
      </c>
      <c r="AG34" s="28" t="n">
        <v>0.0411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Mitchell Evans</t>
        </is>
      </c>
      <c r="C35" s="35" t="n">
        <v>4</v>
      </c>
      <c r="D35" s="35" t="inlineStr">
        <is>
          <t>23</t>
        </is>
      </c>
      <c r="E35" s="42" t="inlineStr">
        <is>
          <t>ACT</t>
        </is>
      </c>
      <c r="F35" s="24" t="inlineStr">
        <is>
          <t>CAR</t>
        </is>
      </c>
      <c r="G35" s="24" t="inlineStr">
        <is>
          <t>17</t>
        </is>
      </c>
      <c r="H35" s="25" t="n">
        <v>0.374</v>
      </c>
      <c r="I35" s="25" t="n"/>
      <c r="J35" s="25" t="n"/>
      <c r="K35" s="26" t="n"/>
      <c r="L35" s="25" t="n"/>
      <c r="M35" s="25" t="n">
        <v>0.0023</v>
      </c>
      <c r="N35" s="26" t="n"/>
      <c r="O35" s="25" t="n"/>
      <c r="P35" s="25" t="n"/>
      <c r="Q35" s="25" t="n"/>
      <c r="R35" s="25" t="n">
        <v>0.0521</v>
      </c>
      <c r="S35" s="25" t="n">
        <v>0.76</v>
      </c>
      <c r="T35" s="26" t="n">
        <v>9</v>
      </c>
      <c r="U35" s="25" t="n">
        <v>0.0597</v>
      </c>
      <c r="V35" s="25" t="n">
        <v>0.0833</v>
      </c>
      <c r="W35" s="27" t="n">
        <v>17</v>
      </c>
      <c r="X35" s="28" t="n"/>
      <c r="Y35" s="28" t="n"/>
      <c r="Z35" s="28" t="n"/>
      <c r="AA35" s="28" t="n">
        <v>0.0027</v>
      </c>
      <c r="AB35" s="29" t="n"/>
      <c r="AC35" s="28" t="n"/>
      <c r="AD35" s="28" t="n">
        <v>0.0404</v>
      </c>
      <c r="AE35" s="28" t="n">
        <v>0.76</v>
      </c>
      <c r="AF35" s="29" t="n">
        <v>9</v>
      </c>
      <c r="AG35" s="28" t="n">
        <v>0.0791</v>
      </c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CHI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1076</v>
      </c>
      <c r="D4" s="10">
        <f>$C$4/$B$4</f>
        <v/>
      </c>
      <c r="E4" s="11" t="n">
        <v>0.5562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1103</v>
      </c>
      <c r="M4" s="14" t="n">
        <v>64.8824</v>
      </c>
      <c r="N4" s="15" t="n">
        <v>0.5422</v>
      </c>
      <c r="O4" s="13" t="n">
        <v>574</v>
      </c>
      <c r="P4" s="13" t="n">
        <v>505</v>
      </c>
      <c r="Q4" s="16" t="n">
        <v>6.953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43.6</v>
      </c>
      <c r="C7" s="11" t="n">
        <v>0.4</v>
      </c>
      <c r="D7" s="10">
        <f>$B$7*$C$7</f>
        <v/>
      </c>
      <c r="E7" s="10">
        <f>$B$7-$D$7</f>
        <v/>
      </c>
      <c r="F7" s="12" t="n">
        <v>3787</v>
      </c>
      <c r="G7" s="12" t="n">
        <v>2132</v>
      </c>
      <c r="H7" s="12">
        <f>$F$7</f>
        <v/>
      </c>
      <c r="L7" s="13" t="n">
        <v>3991</v>
      </c>
      <c r="M7" s="13" t="n">
        <v>2451</v>
      </c>
      <c r="N7" s="14" t="n">
        <v>28</v>
      </c>
      <c r="O7" s="14" t="n">
        <v>19</v>
      </c>
      <c r="P7" s="14" t="n">
        <v>47</v>
      </c>
      <c r="Q7" s="15" t="n">
        <v>0.4042553191489361</v>
      </c>
    </row>
    <row r="8"/>
    <row r="9">
      <c r="A9" s="5" t="inlineStr">
        <is>
          <t>NOTES</t>
        </is>
      </c>
      <c r="B9" s="18" t="inlineStr">
        <is>
          <t>30% of targets and 5% of carries left this roster.  HC unchanged. OC Press Taylor under Ben Johnson. Continuity maintained; no significant regression expected.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Caleb Williams</t>
        </is>
      </c>
      <c r="C12" s="22" t="n">
        <v>1</v>
      </c>
      <c r="D12" s="22" t="inlineStr">
        <is>
          <t>24</t>
        </is>
      </c>
      <c r="E12" s="23" t="inlineStr">
        <is>
          <t>ACT</t>
        </is>
      </c>
      <c r="F12" s="24" t="inlineStr">
        <is>
          <t>CHI</t>
        </is>
      </c>
      <c r="G12" s="24" t="inlineStr">
        <is>
          <t>17</t>
        </is>
      </c>
      <c r="H12" s="25" t="n">
        <v>0.989</v>
      </c>
      <c r="I12" s="25" t="n">
        <v>0.9895</v>
      </c>
      <c r="J12" s="25" t="n">
        <v>0.597</v>
      </c>
      <c r="K12" s="26" t="n">
        <v>6.7</v>
      </c>
      <c r="L12" s="25" t="n">
        <v>0.012</v>
      </c>
      <c r="M12" s="25" t="n">
        <v>0.1336</v>
      </c>
      <c r="N12" s="26" t="n">
        <v>6.12</v>
      </c>
      <c r="O12" s="25" t="n">
        <v>0.2083</v>
      </c>
      <c r="P12" s="25" t="n">
        <v>0.1579</v>
      </c>
      <c r="Q12" s="25" t="n"/>
      <c r="R12" s="25" t="n">
        <v>0.0038</v>
      </c>
      <c r="S12" s="25" t="n"/>
      <c r="T12" s="26" t="n"/>
      <c r="U12" s="25" t="n">
        <v>0.0149</v>
      </c>
      <c r="V12" s="25" t="n">
        <v>0.0357</v>
      </c>
      <c r="W12" s="27" t="n">
        <v>17</v>
      </c>
      <c r="X12" s="28" t="n">
        <v>0.8391</v>
      </c>
      <c r="Y12" s="28" t="n">
        <v>0.597</v>
      </c>
      <c r="Z12" s="28" t="n">
        <v>0.012</v>
      </c>
      <c r="AA12" s="28" t="n">
        <v>0.1275</v>
      </c>
      <c r="AB12" s="29" t="n">
        <v>6.22</v>
      </c>
      <c r="AC12" s="28" t="n">
        <v>0.1145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Tyson Bagent</t>
        </is>
      </c>
      <c r="C13" s="35" t="n">
        <v>2</v>
      </c>
      <c r="D13" s="35" t="inlineStr">
        <is>
          <t>26</t>
        </is>
      </c>
      <c r="E13" s="42" t="inlineStr">
        <is>
          <t>ACT</t>
        </is>
      </c>
      <c r="F13" s="24" t="inlineStr">
        <is>
          <t>CHI</t>
        </is>
      </c>
      <c r="G13" s="24" t="inlineStr">
        <is>
          <t>3</t>
        </is>
      </c>
      <c r="H13" s="25" t="n">
        <v>0.226</v>
      </c>
      <c r="I13" s="25" t="n">
        <v>0.007</v>
      </c>
      <c r="J13" s="25" t="n">
        <v>0.657</v>
      </c>
      <c r="K13" s="26" t="n">
        <v>6.01</v>
      </c>
      <c r="L13" s="25" t="n">
        <v>0.042</v>
      </c>
      <c r="M13" s="25" t="n">
        <v>0.004</v>
      </c>
      <c r="N13" s="26" t="n">
        <v>5.45</v>
      </c>
      <c r="O13" s="25" t="n"/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0.0672</v>
      </c>
      <c r="Y13" s="28" t="n">
        <v>0.657</v>
      </c>
      <c r="Z13" s="28" t="n">
        <v>0.042</v>
      </c>
      <c r="AA13" s="28" t="n">
        <v>0.0163</v>
      </c>
      <c r="AB13" s="29" t="n">
        <v>4.95</v>
      </c>
      <c r="AC13" s="28" t="n">
        <v>0.0907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Case Keenum</t>
        </is>
      </c>
      <c r="C14" s="22" t="n">
        <v>3</v>
      </c>
      <c r="D14" s="22" t="inlineStr">
        <is>
          <t>38</t>
        </is>
      </c>
      <c r="E14" s="23" t="inlineStr">
        <is>
          <t>ACT</t>
        </is>
      </c>
      <c r="F14" s="24" t="inlineStr"/>
      <c r="G14" s="24" t="inlineStr"/>
      <c r="H14" s="25" t="n">
        <v>0.74</v>
      </c>
      <c r="I14" s="25" t="n"/>
      <c r="J14" s="25" t="n">
        <v>0.642</v>
      </c>
      <c r="K14" s="26" t="n">
        <v>5.49</v>
      </c>
      <c r="L14" s="25" t="n">
        <v>0.057</v>
      </c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0.07580000000000001</v>
      </c>
      <c r="Y14" s="28" t="n">
        <v>0.642</v>
      </c>
      <c r="Z14" s="28" t="n">
        <v>0.057</v>
      </c>
      <c r="AA14" s="28" t="n">
        <v>0.0059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D'Andre Swift</t>
        </is>
      </c>
      <c r="C16" s="22" t="n">
        <v>1</v>
      </c>
      <c r="D16" s="22" t="inlineStr">
        <is>
          <t>27</t>
        </is>
      </c>
      <c r="E16" s="23" t="inlineStr">
        <is>
          <t>ACT</t>
        </is>
      </c>
      <c r="F16" s="24" t="inlineStr">
        <is>
          <t>CHI</t>
        </is>
      </c>
      <c r="G16" s="24" t="inlineStr">
        <is>
          <t>16</t>
        </is>
      </c>
      <c r="H16" s="25" t="n">
        <v>0.606</v>
      </c>
      <c r="I16" s="25" t="n"/>
      <c r="J16" s="25" t="n"/>
      <c r="K16" s="26" t="n"/>
      <c r="L16" s="25" t="n"/>
      <c r="M16" s="25" t="n">
        <v>0.4514</v>
      </c>
      <c r="N16" s="26" t="n">
        <v>4.48</v>
      </c>
      <c r="O16" s="25" t="n">
        <v>0.4167</v>
      </c>
      <c r="P16" s="25" t="n">
        <v>0.4737</v>
      </c>
      <c r="Q16" s="25" t="n">
        <v>0.0987</v>
      </c>
      <c r="R16" s="25" t="n">
        <v>0.0902</v>
      </c>
      <c r="S16" s="25" t="n">
        <v>0.757</v>
      </c>
      <c r="T16" s="26" t="n">
        <v>8.27</v>
      </c>
      <c r="U16" s="25" t="n">
        <v>0.0149</v>
      </c>
      <c r="V16" s="25" t="n">
        <v>0.0357</v>
      </c>
      <c r="W16" s="27" t="n">
        <v>17</v>
      </c>
      <c r="X16" s="28" t="n"/>
      <c r="Y16" s="28" t="n"/>
      <c r="Z16" s="28" t="n"/>
      <c r="AA16" s="28" t="n">
        <v>0.4326</v>
      </c>
      <c r="AB16" s="29" t="n">
        <v>4.39</v>
      </c>
      <c r="AC16" s="28" t="n">
        <v>0.3058</v>
      </c>
      <c r="AD16" s="28" t="n">
        <v>0.0975</v>
      </c>
      <c r="AE16" s="28" t="n">
        <v>0.7566000000000001</v>
      </c>
      <c r="AF16" s="29" t="n">
        <v>7.82</v>
      </c>
      <c r="AG16" s="28" t="n">
        <v>0.0443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Kyle Monangai</t>
        </is>
      </c>
      <c r="C17" s="35" t="n">
        <v>2</v>
      </c>
      <c r="D17" s="35" t="inlineStr">
        <is>
          <t>24</t>
        </is>
      </c>
      <c r="E17" s="36" t="inlineStr">
        <is>
          <t>QUESTIONABLE</t>
        </is>
      </c>
      <c r="F17" s="24" t="inlineStr">
        <is>
          <t>CHI</t>
        </is>
      </c>
      <c r="G17" s="24" t="inlineStr">
        <is>
          <t>17</t>
        </is>
      </c>
      <c r="H17" s="25" t="n">
        <v>0.409</v>
      </c>
      <c r="I17" s="25" t="n"/>
      <c r="J17" s="25" t="n"/>
      <c r="K17" s="26" t="n"/>
      <c r="L17" s="25" t="n"/>
      <c r="M17" s="25" t="n">
        <v>0.3421</v>
      </c>
      <c r="N17" s="26" t="n">
        <v>4.63</v>
      </c>
      <c r="O17" s="25" t="n">
        <v>0.3438</v>
      </c>
      <c r="P17" s="25" t="n">
        <v>0.2632</v>
      </c>
      <c r="Q17" s="25" t="n"/>
      <c r="R17" s="25" t="n">
        <v>0.0564</v>
      </c>
      <c r="S17" s="25" t="n">
        <v>0.6</v>
      </c>
      <c r="T17" s="26" t="n">
        <v>9.109999999999999</v>
      </c>
      <c r="U17" s="25" t="n">
        <v>0.0448</v>
      </c>
      <c r="V17" s="25" t="n"/>
      <c r="W17" s="27" t="n">
        <v>17</v>
      </c>
      <c r="X17" s="28" t="n"/>
      <c r="Y17" s="28" t="n"/>
      <c r="Z17" s="28" t="n"/>
      <c r="AA17" s="28" t="n">
        <v>0.2606</v>
      </c>
      <c r="AB17" s="29" t="n">
        <v>4.63</v>
      </c>
      <c r="AC17" s="28" t="n">
        <v>0.1909</v>
      </c>
      <c r="AD17" s="28" t="n">
        <v>0.0555</v>
      </c>
      <c r="AE17" s="28" t="n">
        <v>0.6</v>
      </c>
      <c r="AF17" s="29" t="n">
        <v>9.109999999999999</v>
      </c>
      <c r="AG17" s="28" t="n"/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Salvon Ahmed</t>
        </is>
      </c>
      <c r="C18" s="22" t="n">
        <v>3</v>
      </c>
      <c r="D18" s="22" t="inlineStr">
        <is>
          <t>27</t>
        </is>
      </c>
      <c r="E18" s="23" t="inlineStr">
        <is>
          <t>ACT</t>
        </is>
      </c>
      <c r="F18" s="24" t="inlineStr"/>
      <c r="G18" s="24" t="inlineStr"/>
      <c r="H18" s="25" t="n">
        <v>0.263</v>
      </c>
      <c r="I18" s="25" t="n"/>
      <c r="J18" s="25" t="n"/>
      <c r="K18" s="26" t="n"/>
      <c r="L18" s="25" t="n"/>
      <c r="M18" s="25" t="n"/>
      <c r="N18" s="26" t="n">
        <v>2.77</v>
      </c>
      <c r="O18" s="25" t="n"/>
      <c r="P18" s="25" t="n"/>
      <c r="Q18" s="25" t="n"/>
      <c r="R18" s="25" t="n"/>
      <c r="S18" s="25" t="n">
        <v>0.696</v>
      </c>
      <c r="T18" s="26" t="n">
        <v>5.5</v>
      </c>
      <c r="U18" s="25" t="n"/>
      <c r="V18" s="25" t="n"/>
      <c r="W18" s="27" t="n">
        <v>17</v>
      </c>
      <c r="X18" s="28" t="n"/>
      <c r="Y18" s="28" t="n"/>
      <c r="Z18" s="28" t="n"/>
      <c r="AA18" s="28" t="n">
        <v>0.0291</v>
      </c>
      <c r="AB18" s="29" t="n">
        <v>2.77</v>
      </c>
      <c r="AC18" s="28" t="n">
        <v>0.0268</v>
      </c>
      <c r="AD18" s="28" t="n">
        <v>0.0276</v>
      </c>
      <c r="AE18" s="28" t="n">
        <v>0.6957</v>
      </c>
      <c r="AF18" s="29" t="n">
        <v>5.5</v>
      </c>
      <c r="AG18" s="28" t="n">
        <v>0.0394</v>
      </c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Roschon Johnson</t>
        </is>
      </c>
      <c r="C19" s="35" t="n">
        <v>4</v>
      </c>
      <c r="D19" s="35" t="inlineStr">
        <is>
          <t>25</t>
        </is>
      </c>
      <c r="E19" s="42" t="inlineStr">
        <is>
          <t>ACT</t>
        </is>
      </c>
      <c r="F19" s="24" t="inlineStr">
        <is>
          <t>CHI</t>
        </is>
      </c>
      <c r="G19" s="24" t="inlineStr">
        <is>
          <t>7</t>
        </is>
      </c>
      <c r="H19" s="25" t="n">
        <v>0.185</v>
      </c>
      <c r="I19" s="25" t="n"/>
      <c r="J19" s="25" t="n"/>
      <c r="K19" s="26" t="n"/>
      <c r="L19" s="25" t="n"/>
      <c r="M19" s="25" t="n">
        <v>0.004</v>
      </c>
      <c r="N19" s="26" t="n">
        <v>3.4</v>
      </c>
      <c r="O19" s="25" t="n"/>
      <c r="P19" s="25" t="n"/>
      <c r="Q19" s="25" t="n">
        <v>0.038</v>
      </c>
      <c r="R19" s="25" t="n"/>
      <c r="S19" s="25" t="n">
        <v>0.821</v>
      </c>
      <c r="T19" s="26" t="n">
        <v>6.35</v>
      </c>
      <c r="U19" s="25" t="n"/>
      <c r="V19" s="25" t="n"/>
      <c r="W19" s="27" t="n">
        <v>17</v>
      </c>
      <c r="X19" s="28" t="n"/>
      <c r="Y19" s="28" t="n"/>
      <c r="Z19" s="28" t="n"/>
      <c r="AA19" s="28" t="n">
        <v>0.0684</v>
      </c>
      <c r="AB19" s="29" t="n">
        <v>3.76</v>
      </c>
      <c r="AC19" s="28" t="n">
        <v>0.2331</v>
      </c>
      <c r="AD19" s="28" t="n">
        <v>0.0422</v>
      </c>
      <c r="AE19" s="28" t="n">
        <v>0.8208</v>
      </c>
      <c r="AF19" s="29" t="n">
        <v>6.26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Robert Burns</t>
        </is>
      </c>
      <c r="C20" s="22" t="n">
        <v>5</v>
      </c>
      <c r="D20" s="22" t="inlineStr"/>
      <c r="E20" s="23" t="inlineStr">
        <is>
          <t>ACT</t>
        </is>
      </c>
      <c r="F20" s="24" t="inlineStr"/>
      <c r="G20" s="24" t="inlineStr"/>
      <c r="H20" s="25" t="n"/>
      <c r="I20" s="25" t="n"/>
      <c r="J20" s="25" t="n"/>
      <c r="K20" s="26" t="n"/>
      <c r="L20" s="25" t="n"/>
      <c r="M20" s="25" t="n"/>
      <c r="N20" s="26" t="n"/>
      <c r="O20" s="25" t="n"/>
      <c r="P20" s="25" t="n"/>
      <c r="Q20" s="25" t="n"/>
      <c r="R20" s="25" t="n"/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0.004</v>
      </c>
      <c r="AB20" s="29" t="n">
        <v>4.13</v>
      </c>
      <c r="AC20" s="28" t="n"/>
      <c r="AD20" s="28" t="n">
        <v>0.0034</v>
      </c>
      <c r="AE20" s="28" t="n">
        <v>0.75</v>
      </c>
      <c r="AF20" s="29" t="n">
        <v>7.13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Rome Odunze</t>
        </is>
      </c>
      <c r="C23" s="35" t="n">
        <v>1</v>
      </c>
      <c r="D23" s="35" t="inlineStr">
        <is>
          <t>24</t>
        </is>
      </c>
      <c r="E23" s="42" t="inlineStr">
        <is>
          <t>ACT</t>
        </is>
      </c>
      <c r="F23" s="24" t="inlineStr">
        <is>
          <t>CHI</t>
        </is>
      </c>
      <c r="G23" s="24" t="inlineStr">
        <is>
          <t>12</t>
        </is>
      </c>
      <c r="H23" s="25" t="n">
        <v>0.864</v>
      </c>
      <c r="I23" s="25" t="n"/>
      <c r="J23" s="25" t="n"/>
      <c r="K23" s="26" t="n"/>
      <c r="L23" s="25" t="n"/>
      <c r="M23" s="25" t="n"/>
      <c r="N23" s="26" t="n"/>
      <c r="O23" s="25" t="n"/>
      <c r="P23" s="25" t="n"/>
      <c r="Q23" s="25" t="n">
        <v>0.1917</v>
      </c>
      <c r="R23" s="25" t="n">
        <v>0.1692</v>
      </c>
      <c r="S23" s="25" t="n">
        <v>0.51</v>
      </c>
      <c r="T23" s="26" t="n">
        <v>14.37</v>
      </c>
      <c r="U23" s="25" t="n">
        <v>0.1791</v>
      </c>
      <c r="V23" s="25" t="n">
        <v>0.2143</v>
      </c>
      <c r="W23" s="27" t="n">
        <v>17</v>
      </c>
      <c r="X23" s="28" t="n"/>
      <c r="Y23" s="28" t="n"/>
      <c r="Z23" s="28" t="n"/>
      <c r="AA23" s="28" t="n">
        <v>0.0116</v>
      </c>
      <c r="AB23" s="29" t="n">
        <v>5</v>
      </c>
      <c r="AC23" s="28" t="n"/>
      <c r="AD23" s="28" t="n">
        <v>0.2088</v>
      </c>
      <c r="AE23" s="28" t="n">
        <v>0.5099</v>
      </c>
      <c r="AF23" s="29" t="n">
        <v>14.23</v>
      </c>
      <c r="AG23" s="28" t="n">
        <v>0.2186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Luther Burden</t>
        </is>
      </c>
      <c r="C24" s="22" t="n">
        <v>2</v>
      </c>
      <c r="D24" s="22" t="inlineStr">
        <is>
          <t>22</t>
        </is>
      </c>
      <c r="E24" s="41" t="inlineStr">
        <is>
          <t>QUESTIONABLE</t>
        </is>
      </c>
      <c r="F24" s="24" t="inlineStr">
        <is>
          <t>CHI</t>
        </is>
      </c>
      <c r="G24" s="24" t="inlineStr">
        <is>
          <t>15</t>
        </is>
      </c>
      <c r="H24" s="25" t="n">
        <v>0.397</v>
      </c>
      <c r="I24" s="25" t="n"/>
      <c r="J24" s="25" t="n"/>
      <c r="K24" s="26" t="n"/>
      <c r="L24" s="25" t="n"/>
      <c r="M24" s="25" t="n">
        <v>0.0121</v>
      </c>
      <c r="N24" s="26" t="n"/>
      <c r="O24" s="25" t="n"/>
      <c r="P24" s="25" t="n"/>
      <c r="Q24" s="25" t="n"/>
      <c r="R24" s="25" t="n">
        <v>0.1128</v>
      </c>
      <c r="S24" s="25" t="n">
        <v>0.783</v>
      </c>
      <c r="T24" s="26" t="n">
        <v>13.87</v>
      </c>
      <c r="U24" s="25" t="n">
        <v>0.0597</v>
      </c>
      <c r="V24" s="25" t="n">
        <v>0.07140000000000001</v>
      </c>
      <c r="W24" s="27" t="n">
        <v>17</v>
      </c>
      <c r="X24" s="28" t="n"/>
      <c r="Y24" s="28" t="n"/>
      <c r="Z24" s="28" t="n"/>
      <c r="AA24" s="28" t="n">
        <v>0.009599999999999999</v>
      </c>
      <c r="AB24" s="29" t="n">
        <v>6.17</v>
      </c>
      <c r="AC24" s="28" t="n"/>
      <c r="AD24" s="28" t="n">
        <v>0.1361</v>
      </c>
      <c r="AE24" s="28" t="n">
        <v>0.7833</v>
      </c>
      <c r="AF24" s="29" t="n">
        <v>13.87</v>
      </c>
      <c r="AG24" s="28" t="n">
        <v>0.08450000000000001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Zavion Thomas</t>
        </is>
      </c>
      <c r="C25" s="35" t="n">
        <v>3</v>
      </c>
      <c r="D25" s="35" t="inlineStr">
        <is>
          <t>22</t>
        </is>
      </c>
      <c r="E25" s="42" t="inlineStr">
        <is>
          <t>ACT</t>
        </is>
      </c>
      <c r="F25" s="24" t="inlineStr"/>
      <c r="G25" s="24" t="inlineStr"/>
      <c r="H25" s="25" t="n"/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/>
      <c r="R25" s="25" t="n"/>
      <c r="S25" s="25" t="n"/>
      <c r="T25" s="26" t="n"/>
      <c r="U25" s="25" t="n"/>
      <c r="V25" s="25" t="n"/>
      <c r="W25" s="27" t="n">
        <v>17</v>
      </c>
      <c r="X25" s="28" t="n"/>
      <c r="Y25" s="28" t="n"/>
      <c r="Z25" s="28" t="n"/>
      <c r="AA25" s="28" t="n">
        <v>0.0019</v>
      </c>
      <c r="AB25" s="29" t="n"/>
      <c r="AC25" s="28" t="n"/>
      <c r="AD25" s="28" t="n">
        <v>0.0092</v>
      </c>
      <c r="AE25" s="28" t="n">
        <v>0.65</v>
      </c>
      <c r="AF25" s="29" t="n">
        <v>12.84</v>
      </c>
      <c r="AG25" s="28" t="n"/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Jahdae Walker</t>
        </is>
      </c>
      <c r="C26" s="22" t="n">
        <v>4</v>
      </c>
      <c r="D26" s="22" t="inlineStr">
        <is>
          <t>24</t>
        </is>
      </c>
      <c r="E26" s="23" t="inlineStr">
        <is>
          <t>ACT</t>
        </is>
      </c>
      <c r="F26" s="24" t="inlineStr">
        <is>
          <t>CHI</t>
        </is>
      </c>
      <c r="G26" s="24" t="inlineStr">
        <is>
          <t>9</t>
        </is>
      </c>
      <c r="H26" s="25" t="n">
        <v>0.194</v>
      </c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/>
      <c r="R26" s="25" t="n">
        <v>0.0188</v>
      </c>
      <c r="S26" s="25" t="n"/>
      <c r="T26" s="26" t="n"/>
      <c r="U26" s="25" t="n">
        <v>0.0299</v>
      </c>
      <c r="V26" s="25" t="n">
        <v>0.07140000000000001</v>
      </c>
      <c r="W26" s="27" t="n">
        <v>17</v>
      </c>
      <c r="X26" s="28" t="n"/>
      <c r="Y26" s="28" t="n"/>
      <c r="Z26" s="28" t="n"/>
      <c r="AA26" s="28" t="n">
        <v>0.0019</v>
      </c>
      <c r="AB26" s="29" t="n"/>
      <c r="AC26" s="28" t="n"/>
      <c r="AD26" s="28" t="n">
        <v>0.0576</v>
      </c>
      <c r="AE26" s="28" t="n">
        <v>0.6</v>
      </c>
      <c r="AF26" s="29" t="n">
        <v>14.5</v>
      </c>
      <c r="AG26" s="28" t="n">
        <v>0.08450000000000001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Kalif Raymond</t>
        </is>
      </c>
      <c r="C27" s="35" t="n">
        <v>5</v>
      </c>
      <c r="D27" s="35" t="inlineStr">
        <is>
          <t>32</t>
        </is>
      </c>
      <c r="E27" s="42" t="inlineStr">
        <is>
          <t>ACT</t>
        </is>
      </c>
      <c r="F27" s="24" t="inlineStr">
        <is>
          <t>DET</t>
        </is>
      </c>
      <c r="G27" s="24" t="inlineStr">
        <is>
          <t>15</t>
        </is>
      </c>
      <c r="H27" s="25" t="n">
        <v>0.323</v>
      </c>
      <c r="I27" s="25" t="n"/>
      <c r="J27" s="25" t="n"/>
      <c r="K27" s="26" t="n"/>
      <c r="L27" s="25" t="n"/>
      <c r="M27" s="25" t="n">
        <v>0.0046</v>
      </c>
      <c r="N27" s="26" t="n"/>
      <c r="O27" s="25" t="n"/>
      <c r="P27" s="25" t="n"/>
      <c r="Q27" s="25" t="n">
        <v>0.0421</v>
      </c>
      <c r="R27" s="25" t="n">
        <v>0.0545</v>
      </c>
      <c r="S27" s="25" t="n">
        <v>0.792</v>
      </c>
      <c r="T27" s="26" t="n">
        <v>12.64</v>
      </c>
      <c r="U27" s="25" t="n">
        <v>0.0244</v>
      </c>
      <c r="V27" s="25" t="n">
        <v>0.0286</v>
      </c>
      <c r="W27" s="27" t="n">
        <v>17</v>
      </c>
      <c r="X27" s="28" t="n"/>
      <c r="Y27" s="28" t="n"/>
      <c r="Z27" s="28" t="n"/>
      <c r="AA27" s="28" t="n">
        <v>0.0027</v>
      </c>
      <c r="AB27" s="29" t="n"/>
      <c r="AC27" s="28" t="n"/>
      <c r="AD27" s="28" t="n">
        <v>0.052</v>
      </c>
      <c r="AE27" s="28" t="n">
        <v>0.7922</v>
      </c>
      <c r="AF27" s="29" t="n">
        <v>13.07</v>
      </c>
      <c r="AG27" s="28" t="n">
        <v>0.0418</v>
      </c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Qadir Ismail</t>
        </is>
      </c>
      <c r="C28" s="22" t="n">
        <v>6</v>
      </c>
      <c r="D28" s="22" t="inlineStr">
        <is>
          <t>26</t>
        </is>
      </c>
      <c r="E28" s="23" t="inlineStr">
        <is>
          <t>ACT</t>
        </is>
      </c>
      <c r="F28" s="24" t="inlineStr"/>
      <c r="G28" s="24" t="inlineStr"/>
      <c r="H28" s="25" t="n"/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/>
      <c r="R28" s="25" t="n"/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0.0019</v>
      </c>
      <c r="AB28" s="29" t="n"/>
      <c r="AC28" s="28" t="n"/>
      <c r="AD28" s="28" t="n">
        <v>0.0052</v>
      </c>
      <c r="AE28" s="28" t="n">
        <v>0.65</v>
      </c>
      <c r="AF28" s="29" t="n">
        <v>12.84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Kaden Davis</t>
        </is>
      </c>
      <c r="C29" s="35" t="n">
        <v>7</v>
      </c>
      <c r="D29" s="35" t="inlineStr">
        <is>
          <t>27</t>
        </is>
      </c>
      <c r="E29" s="42" t="inlineStr">
        <is>
          <t>ACT</t>
        </is>
      </c>
      <c r="F29" s="24" t="inlineStr"/>
      <c r="G29" s="24" t="inlineStr"/>
      <c r="H29" s="25" t="n">
        <v>0.106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/>
      <c r="R29" s="25" t="n"/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0.002</v>
      </c>
      <c r="AB29" s="29" t="n"/>
      <c r="AC29" s="28" t="n"/>
      <c r="AD29" s="28" t="n">
        <v>0.0043</v>
      </c>
      <c r="AE29" s="28" t="n">
        <v>0.65</v>
      </c>
      <c r="AF29" s="29" t="n">
        <v>12.84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Omari Kelly</t>
        </is>
      </c>
      <c r="C30" s="22" t="n">
        <v>8</v>
      </c>
      <c r="D30" s="22" t="inlineStr"/>
      <c r="E30" s="23" t="inlineStr">
        <is>
          <t>ACT</t>
        </is>
      </c>
      <c r="F30" s="24" t="inlineStr"/>
      <c r="G30" s="24" t="inlineStr"/>
      <c r="H30" s="25" t="n"/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/>
      <c r="R30" s="25" t="n"/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0.0019</v>
      </c>
      <c r="AB30" s="29" t="n"/>
      <c r="AC30" s="28" t="n"/>
      <c r="AD30" s="28" t="n">
        <v>0.005</v>
      </c>
      <c r="AE30" s="28" t="n">
        <v>0.65</v>
      </c>
      <c r="AF30" s="29" t="n">
        <v>12.84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Colston Loveland</t>
        </is>
      </c>
      <c r="C32" s="22" t="n">
        <v>1</v>
      </c>
      <c r="D32" s="22" t="inlineStr">
        <is>
          <t>22</t>
        </is>
      </c>
      <c r="E32" s="23" t="inlineStr">
        <is>
          <t>ACT</t>
        </is>
      </c>
      <c r="F32" s="24" t="inlineStr">
        <is>
          <t>CHI</t>
        </is>
      </c>
      <c r="G32" s="24" t="inlineStr">
        <is>
          <t>16</t>
        </is>
      </c>
      <c r="H32" s="25" t="n">
        <v>0.645</v>
      </c>
      <c r="I32" s="25" t="n"/>
      <c r="J32" s="25" t="n"/>
      <c r="K32" s="26" t="n"/>
      <c r="L32" s="25" t="n"/>
      <c r="M32" s="25" t="n">
        <v>0.002</v>
      </c>
      <c r="N32" s="26" t="n"/>
      <c r="O32" s="25" t="n">
        <v>0.0104</v>
      </c>
      <c r="P32" s="25" t="n"/>
      <c r="Q32" s="25" t="n"/>
      <c r="R32" s="25" t="n">
        <v>0.1541</v>
      </c>
      <c r="S32" s="25" t="n">
        <v>0.707</v>
      </c>
      <c r="T32" s="26" t="n">
        <v>12.29</v>
      </c>
      <c r="U32" s="25" t="n">
        <v>0.209</v>
      </c>
      <c r="V32" s="25" t="n">
        <v>0.2143</v>
      </c>
      <c r="W32" s="27" t="n">
        <v>17</v>
      </c>
      <c r="X32" s="28" t="n"/>
      <c r="Y32" s="28" t="n"/>
      <c r="Z32" s="28" t="n"/>
      <c r="AA32" s="28" t="n">
        <v>0.0022</v>
      </c>
      <c r="AB32" s="29" t="n"/>
      <c r="AC32" s="28" t="n"/>
      <c r="AD32" s="28" t="n">
        <v>0.158</v>
      </c>
      <c r="AE32" s="28" t="n">
        <v>0.7073</v>
      </c>
      <c r="AF32" s="29" t="n">
        <v>12.29</v>
      </c>
      <c r="AG32" s="28" t="n">
        <v>0.2536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Cole Kmet</t>
        </is>
      </c>
      <c r="C33" s="35" t="n">
        <v>2</v>
      </c>
      <c r="D33" s="35" t="inlineStr">
        <is>
          <t>27</t>
        </is>
      </c>
      <c r="E33" s="42" t="inlineStr">
        <is>
          <t>ACT</t>
        </is>
      </c>
      <c r="F33" s="24" t="inlineStr">
        <is>
          <t>CHI</t>
        </is>
      </c>
      <c r="G33" s="24" t="inlineStr">
        <is>
          <t>16</t>
        </is>
      </c>
      <c r="H33" s="25" t="n">
        <v>0.773</v>
      </c>
      <c r="I33" s="25" t="n">
        <v>0.0017</v>
      </c>
      <c r="J33" s="25" t="n"/>
      <c r="K33" s="26" t="n"/>
      <c r="L33" s="25" t="n"/>
      <c r="M33" s="25" t="n"/>
      <c r="N33" s="26" t="n"/>
      <c r="O33" s="25" t="n"/>
      <c r="P33" s="25" t="n"/>
      <c r="Q33" s="25" t="n">
        <v>0.1044</v>
      </c>
      <c r="R33" s="25" t="n">
        <v>0.0902</v>
      </c>
      <c r="S33" s="25" t="n">
        <v>0.734</v>
      </c>
      <c r="T33" s="26" t="n">
        <v>10.75</v>
      </c>
      <c r="U33" s="25" t="n">
        <v>0.0896</v>
      </c>
      <c r="V33" s="25" t="n">
        <v>0.07140000000000001</v>
      </c>
      <c r="W33" s="27" t="n">
        <v>17</v>
      </c>
      <c r="X33" s="28" t="n"/>
      <c r="Y33" s="28" t="n"/>
      <c r="Z33" s="28" t="n"/>
      <c r="AA33" s="28" t="n">
        <v>0.0039</v>
      </c>
      <c r="AB33" s="29" t="n"/>
      <c r="AC33" s="28" t="n"/>
      <c r="AD33" s="28" t="n">
        <v>0.0921</v>
      </c>
      <c r="AE33" s="28" t="n">
        <v>0.7343</v>
      </c>
      <c r="AF33" s="29" t="n">
        <v>10.27</v>
      </c>
      <c r="AG33" s="28" t="n">
        <v>0.1911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Sam Roush</t>
        </is>
      </c>
      <c r="C34" s="22" t="n">
        <v>3</v>
      </c>
      <c r="D34" s="22" t="inlineStr">
        <is>
          <t>22</t>
        </is>
      </c>
      <c r="E34" s="23" t="inlineStr">
        <is>
          <t>ACT</t>
        </is>
      </c>
      <c r="F34" s="24" t="inlineStr"/>
      <c r="G34" s="24" t="inlineStr"/>
      <c r="H34" s="25" t="n"/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/>
      <c r="R34" s="25" t="n"/>
      <c r="S34" s="25" t="n"/>
      <c r="T34" s="26" t="n"/>
      <c r="U34" s="25" t="n"/>
      <c r="V34" s="25" t="n"/>
      <c r="W34" s="27" t="n">
        <v>17</v>
      </c>
      <c r="X34" s="28" t="n"/>
      <c r="Y34" s="28" t="n"/>
      <c r="Z34" s="28" t="n"/>
      <c r="AA34" s="28" t="n">
        <v>0.002</v>
      </c>
      <c r="AB34" s="29" t="n"/>
      <c r="AC34" s="28" t="n"/>
      <c r="AD34" s="28" t="n">
        <v>0.0072</v>
      </c>
      <c r="AE34" s="28" t="n">
        <v>0.65</v>
      </c>
      <c r="AF34" s="29" t="n">
        <v>10.32</v>
      </c>
      <c r="AG34" s="28" t="n"/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Stephen Carlson</t>
        </is>
      </c>
      <c r="C35" s="35" t="n">
        <v>4</v>
      </c>
      <c r="D35" s="35" t="inlineStr">
        <is>
          <t>29</t>
        </is>
      </c>
      <c r="E35" s="42" t="inlineStr">
        <is>
          <t>ACT</t>
        </is>
      </c>
      <c r="F35" s="24" t="inlineStr"/>
      <c r="G35" s="24" t="inlineStr"/>
      <c r="H35" s="25" t="n">
        <v>0.105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</v>
      </c>
      <c r="AB35" s="29" t="n"/>
      <c r="AC35" s="28" t="n"/>
      <c r="AD35" s="28" t="n">
        <v>0.014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CIN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1058</v>
      </c>
      <c r="D4" s="10">
        <f>$C$4/$B$4</f>
        <v/>
      </c>
      <c r="E4" s="11" t="n">
        <v>0.6189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1057</v>
      </c>
      <c r="M4" s="14" t="n">
        <v>62.1765</v>
      </c>
      <c r="N4" s="15" t="n">
        <v>0.6395</v>
      </c>
      <c r="O4" s="13" t="n">
        <v>640</v>
      </c>
      <c r="P4" s="13" t="n">
        <v>381</v>
      </c>
      <c r="Q4" s="16" t="n">
        <v>6.6312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46</v>
      </c>
      <c r="C7" s="11" t="n">
        <v>0.2826</v>
      </c>
      <c r="D7" s="10">
        <f>$B$7*$C$7</f>
        <v/>
      </c>
      <c r="E7" s="10">
        <f>$B$7-$D$7</f>
        <v/>
      </c>
      <c r="F7" s="12" t="n">
        <v>4287</v>
      </c>
      <c r="G7" s="12" t="n">
        <v>1691</v>
      </c>
      <c r="H7" s="12">
        <f>$F$7</f>
        <v/>
      </c>
      <c r="L7" s="13" t="n">
        <v>4244</v>
      </c>
      <c r="M7" s="13" t="n">
        <v>1591</v>
      </c>
      <c r="N7" s="14" t="n">
        <v>36</v>
      </c>
      <c r="O7" s="14" t="n">
        <v>11</v>
      </c>
      <c r="P7" s="14" t="n">
        <v>47</v>
      </c>
      <c r="Q7" s="15" t="n">
        <v>0.2340425531914894</v>
      </c>
    </row>
    <row r="8"/>
    <row r="9">
      <c r="A9" s="5" t="inlineStr">
        <is>
          <t>NOTES</t>
        </is>
      </c>
      <c r="B9" s="18" t="inlineStr">
        <is>
          <t>11% of targets and 2% of carries left this roster.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Joe Burrow</t>
        </is>
      </c>
      <c r="C12" s="22" t="n">
        <v>1</v>
      </c>
      <c r="D12" s="22" t="inlineStr">
        <is>
          <t>29</t>
        </is>
      </c>
      <c r="E12" s="23" t="inlineStr">
        <is>
          <t>ACT</t>
        </is>
      </c>
      <c r="F12" s="24" t="inlineStr">
        <is>
          <t>CIN</t>
        </is>
      </c>
      <c r="G12" s="24" t="inlineStr">
        <is>
          <t>8</t>
        </is>
      </c>
      <c r="H12" s="25" t="n">
        <v>0.925</v>
      </c>
      <c r="I12" s="25" t="n">
        <v>0.4047</v>
      </c>
      <c r="J12" s="25" t="n">
        <v>0.6850000000000001</v>
      </c>
      <c r="K12" s="26" t="n">
        <v>7.12</v>
      </c>
      <c r="L12" s="25" t="n">
        <v>0.016</v>
      </c>
      <c r="M12" s="25" t="n">
        <v>0.035</v>
      </c>
      <c r="N12" s="26" t="n">
        <v>6.48</v>
      </c>
      <c r="O12" s="25" t="n">
        <v>0.0339</v>
      </c>
      <c r="P12" s="25" t="n"/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0.7408</v>
      </c>
      <c r="Y12" s="28" t="n">
        <v>0.6850000000000001</v>
      </c>
      <c r="Z12" s="28" t="n">
        <v>0.016</v>
      </c>
      <c r="AA12" s="28" t="n">
        <v>0.0696</v>
      </c>
      <c r="AB12" s="29" t="n">
        <v>5.24</v>
      </c>
      <c r="AC12" s="28" t="n">
        <v>0.1844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Joe Flacco</t>
        </is>
      </c>
      <c r="C13" s="35" t="n">
        <v>2</v>
      </c>
      <c r="D13" s="35" t="inlineStr">
        <is>
          <t>41</t>
        </is>
      </c>
      <c r="E13" s="42" t="inlineStr">
        <is>
          <t>ACT</t>
        </is>
      </c>
      <c r="F13" s="24" t="inlineStr">
        <is>
          <t>CLE</t>
        </is>
      </c>
      <c r="G13" s="24" t="inlineStr">
        <is>
          <t>4</t>
        </is>
      </c>
      <c r="H13" s="25" t="n">
        <v>0.839</v>
      </c>
      <c r="I13" s="25" t="n">
        <v>0.2867</v>
      </c>
      <c r="J13" s="25" t="n">
        <v>0.617</v>
      </c>
      <c r="K13" s="26" t="n">
        <v>6.51</v>
      </c>
      <c r="L13" s="25" t="n">
        <v>0.034</v>
      </c>
      <c r="M13" s="25" t="n">
        <v>0.012</v>
      </c>
      <c r="N13" s="26" t="n"/>
      <c r="O13" s="25" t="n">
        <v>0.0357</v>
      </c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0.2053</v>
      </c>
      <c r="Y13" s="28" t="n">
        <v>0.617</v>
      </c>
      <c r="Z13" s="28" t="n">
        <v>0.034</v>
      </c>
      <c r="AA13" s="28" t="n">
        <v>0.0284</v>
      </c>
      <c r="AB13" s="29" t="n">
        <v>2.73</v>
      </c>
      <c r="AC13" s="28" t="n"/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Sean Clifford</t>
        </is>
      </c>
      <c r="C14" s="22" t="n">
        <v>3</v>
      </c>
      <c r="D14" s="22" t="inlineStr">
        <is>
          <t>28</t>
        </is>
      </c>
      <c r="E14" s="23" t="inlineStr">
        <is>
          <t>ACT</t>
        </is>
      </c>
      <c r="F14" s="24" t="inlineStr"/>
      <c r="G14" s="24" t="inlineStr"/>
      <c r="H14" s="25" t="n">
        <v>0.095</v>
      </c>
      <c r="I14" s="25" t="n"/>
      <c r="J14" s="25" t="n"/>
      <c r="K14" s="26" t="n"/>
      <c r="L14" s="25" t="n"/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0.0019</v>
      </c>
      <c r="Y14" s="28" t="n">
        <v>0.65</v>
      </c>
      <c r="Z14" s="28" t="n">
        <v>0.022</v>
      </c>
      <c r="AA14" s="28" t="n">
        <v>0.0057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Chase Brown</t>
        </is>
      </c>
      <c r="C16" s="22" t="n">
        <v>1</v>
      </c>
      <c r="D16" s="22" t="inlineStr">
        <is>
          <t>26</t>
        </is>
      </c>
      <c r="E16" s="23" t="inlineStr">
        <is>
          <t>ACT</t>
        </is>
      </c>
      <c r="F16" s="24" t="inlineStr">
        <is>
          <t>CIN</t>
        </is>
      </c>
      <c r="G16" s="24" t="inlineStr">
        <is>
          <t>17</t>
        </is>
      </c>
      <c r="H16" s="25" t="n">
        <v>0.547</v>
      </c>
      <c r="I16" s="25" t="n"/>
      <c r="J16" s="25" t="n"/>
      <c r="K16" s="26" t="n"/>
      <c r="L16" s="25" t="n"/>
      <c r="M16" s="25" t="n">
        <v>0.6253</v>
      </c>
      <c r="N16" s="26" t="n">
        <v>4.32</v>
      </c>
      <c r="O16" s="25" t="n">
        <v>0.5763</v>
      </c>
      <c r="P16" s="25" t="n">
        <v>0.5455</v>
      </c>
      <c r="Q16" s="25" t="n">
        <v>0.1035</v>
      </c>
      <c r="R16" s="25" t="n">
        <v>0.1447</v>
      </c>
      <c r="S16" s="25" t="n">
        <v>0.821</v>
      </c>
      <c r="T16" s="26" t="n">
        <v>7.17</v>
      </c>
      <c r="U16" s="25" t="n">
        <v>0.1447</v>
      </c>
      <c r="V16" s="25" t="n">
        <v>0.1389</v>
      </c>
      <c r="W16" s="27" t="n">
        <v>17</v>
      </c>
      <c r="X16" s="28" t="n"/>
      <c r="Y16" s="28" t="n"/>
      <c r="Z16" s="28" t="n"/>
      <c r="AA16" s="28" t="n">
        <v>0.5864</v>
      </c>
      <c r="AB16" s="29" t="n">
        <v>4.33</v>
      </c>
      <c r="AC16" s="28" t="n">
        <v>0.5866</v>
      </c>
      <c r="AD16" s="28" t="n">
        <v>0.1129</v>
      </c>
      <c r="AE16" s="28" t="n">
        <v>0.8212</v>
      </c>
      <c r="AF16" s="29" t="n">
        <v>6.96</v>
      </c>
      <c r="AG16" s="28" t="n">
        <v>0.1145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Samaje Perine</t>
        </is>
      </c>
      <c r="C17" s="35" t="n">
        <v>2</v>
      </c>
      <c r="D17" s="35" t="inlineStr">
        <is>
          <t>30</t>
        </is>
      </c>
      <c r="E17" s="42" t="inlineStr">
        <is>
          <t>ACT</t>
        </is>
      </c>
      <c r="F17" s="24" t="inlineStr">
        <is>
          <t>CIN</t>
        </is>
      </c>
      <c r="G17" s="24" t="inlineStr">
        <is>
          <t>15</t>
        </is>
      </c>
      <c r="H17" s="25" t="n">
        <v>0.32</v>
      </c>
      <c r="I17" s="25" t="n"/>
      <c r="J17" s="25" t="n"/>
      <c r="K17" s="26" t="n"/>
      <c r="L17" s="25" t="n"/>
      <c r="M17" s="25" t="n">
        <v>0.2264</v>
      </c>
      <c r="N17" s="26" t="n">
        <v>4.55</v>
      </c>
      <c r="O17" s="25" t="n">
        <v>0.2712</v>
      </c>
      <c r="P17" s="25" t="n">
        <v>0.2727</v>
      </c>
      <c r="Q17" s="25" t="n">
        <v>0.0612</v>
      </c>
      <c r="R17" s="25" t="n">
        <v>0.0345</v>
      </c>
      <c r="S17" s="25" t="n">
        <v>0.824</v>
      </c>
      <c r="T17" s="26" t="n">
        <v>8</v>
      </c>
      <c r="U17" s="25" t="n"/>
      <c r="V17" s="25" t="n"/>
      <c r="W17" s="27" t="n">
        <v>17</v>
      </c>
      <c r="X17" s="28" t="n"/>
      <c r="Y17" s="28" t="n"/>
      <c r="Z17" s="28" t="n"/>
      <c r="AA17" s="28" t="n">
        <v>0.1763</v>
      </c>
      <c r="AB17" s="29" t="n">
        <v>4.54</v>
      </c>
      <c r="AC17" s="28" t="n">
        <v>0.1782</v>
      </c>
      <c r="AD17" s="28" t="n">
        <v>0.0527</v>
      </c>
      <c r="AE17" s="28" t="n">
        <v>0.8242</v>
      </c>
      <c r="AF17" s="29" t="n">
        <v>9.09</v>
      </c>
      <c r="AG17" s="28" t="n">
        <v>0.0403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Tahj Brooks</t>
        </is>
      </c>
      <c r="C18" s="22" t="n">
        <v>3</v>
      </c>
      <c r="D18" s="22" t="inlineStr">
        <is>
          <t>24</t>
        </is>
      </c>
      <c r="E18" s="23" t="inlineStr">
        <is>
          <t>ACT</t>
        </is>
      </c>
      <c r="F18" s="24" t="inlineStr">
        <is>
          <t>CIN</t>
        </is>
      </c>
      <c r="G18" s="24" t="inlineStr">
        <is>
          <t>16</t>
        </is>
      </c>
      <c r="H18" s="25" t="n">
        <v>0.103</v>
      </c>
      <c r="I18" s="25" t="n"/>
      <c r="J18" s="25" t="n"/>
      <c r="K18" s="26" t="n"/>
      <c r="L18" s="25" t="n"/>
      <c r="M18" s="25" t="n">
        <v>0.0431</v>
      </c>
      <c r="N18" s="26" t="n"/>
      <c r="O18" s="25" t="n"/>
      <c r="P18" s="25" t="n"/>
      <c r="Q18" s="25" t="n"/>
      <c r="R18" s="25" t="n">
        <v>0.0033</v>
      </c>
      <c r="S18" s="25" t="n"/>
      <c r="T18" s="26" t="n"/>
      <c r="U18" s="25" t="n"/>
      <c r="V18" s="25" t="n"/>
      <c r="W18" s="27" t="n">
        <v>17</v>
      </c>
      <c r="X18" s="28" t="n"/>
      <c r="Y18" s="28" t="n"/>
      <c r="Z18" s="28" t="n"/>
      <c r="AA18" s="28" t="n">
        <v>0.0532</v>
      </c>
      <c r="AB18" s="29" t="n">
        <v>2.81</v>
      </c>
      <c r="AC18" s="28" t="n"/>
      <c r="AD18" s="28" t="n">
        <v>0.007900000000000001</v>
      </c>
      <c r="AE18" s="28" t="n">
        <v>0.5</v>
      </c>
      <c r="AF18" s="29" t="n">
        <v>9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Gary Brightwell</t>
        </is>
      </c>
      <c r="C19" s="35" t="n">
        <v>4</v>
      </c>
      <c r="D19" s="35" t="inlineStr">
        <is>
          <t>28</t>
        </is>
      </c>
      <c r="E19" s="42" t="inlineStr">
        <is>
          <t>ACT</t>
        </is>
      </c>
      <c r="F19" s="24" t="inlineStr"/>
      <c r="G19" s="24" t="inlineStr"/>
      <c r="H19" s="25" t="n">
        <v>0.155</v>
      </c>
      <c r="I19" s="25" t="n"/>
      <c r="J19" s="25" t="n"/>
      <c r="K19" s="26" t="n"/>
      <c r="L19" s="25" t="n"/>
      <c r="M19" s="25" t="n"/>
      <c r="N19" s="26" t="n"/>
      <c r="O19" s="25" t="n"/>
      <c r="P19" s="25" t="n"/>
      <c r="Q19" s="25" t="n"/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0.0146</v>
      </c>
      <c r="AB19" s="29" t="n">
        <v>2.11</v>
      </c>
      <c r="AC19" s="28" t="n"/>
      <c r="AD19" s="28" t="n">
        <v>0.0102</v>
      </c>
      <c r="AE19" s="28" t="n">
        <v>0.7143</v>
      </c>
      <c r="AF19" s="29" t="n">
        <v>9.4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Kendall Milton</t>
        </is>
      </c>
      <c r="C20" s="22" t="n">
        <v>5</v>
      </c>
      <c r="D20" s="22" t="inlineStr">
        <is>
          <t>24</t>
        </is>
      </c>
      <c r="E20" s="23" t="inlineStr">
        <is>
          <t>ACT</t>
        </is>
      </c>
      <c r="F20" s="24" t="inlineStr">
        <is>
          <t>CIN</t>
        </is>
      </c>
      <c r="G20" s="24" t="inlineStr">
        <is>
          <t>1</t>
        </is>
      </c>
      <c r="H20" s="25" t="n">
        <v>0.052</v>
      </c>
      <c r="I20" s="25" t="n"/>
      <c r="J20" s="25" t="n"/>
      <c r="K20" s="26" t="n"/>
      <c r="L20" s="25" t="n"/>
      <c r="M20" s="25" t="n">
        <v>0.0054</v>
      </c>
      <c r="N20" s="26" t="n"/>
      <c r="O20" s="25" t="n"/>
      <c r="P20" s="25" t="n"/>
      <c r="Q20" s="25" t="n"/>
      <c r="R20" s="25" t="n"/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0.0097</v>
      </c>
      <c r="AB20" s="29" t="n">
        <v>4.13</v>
      </c>
      <c r="AC20" s="28" t="n"/>
      <c r="AD20" s="28" t="n">
        <v>0.0019</v>
      </c>
      <c r="AE20" s="28" t="n">
        <v>0.774</v>
      </c>
      <c r="AF20" s="29" t="n">
        <v>7.13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inlineStr">
        <is>
          <t>Jamal Haynes</t>
        </is>
      </c>
      <c r="C21" s="35" t="n">
        <v>6</v>
      </c>
      <c r="D21" s="35" t="inlineStr">
        <is>
          <t>23</t>
        </is>
      </c>
      <c r="E21" s="42" t="inlineStr">
        <is>
          <t>ACT</t>
        </is>
      </c>
      <c r="F21" s="24" t="inlineStr"/>
      <c r="G21" s="24" t="inlineStr"/>
      <c r="H21" s="25" t="n"/>
      <c r="I21" s="25" t="n"/>
      <c r="J21" s="25" t="n"/>
      <c r="K21" s="26" t="n"/>
      <c r="L21" s="25" t="n"/>
      <c r="M21" s="25" t="n"/>
      <c r="N21" s="26" t="n"/>
      <c r="O21" s="25" t="n"/>
      <c r="P21" s="25" t="n"/>
      <c r="Q21" s="25" t="n"/>
      <c r="R21" s="25" t="n"/>
      <c r="S21" s="25" t="n"/>
      <c r="T21" s="26" t="n"/>
      <c r="U21" s="25" t="n"/>
      <c r="V21" s="25" t="n"/>
      <c r="W21" s="27" t="n">
        <v>17</v>
      </c>
      <c r="X21" s="28" t="n"/>
      <c r="Y21" s="28" t="n"/>
      <c r="Z21" s="28" t="n"/>
      <c r="AA21" s="28" t="n">
        <v>0.0146</v>
      </c>
      <c r="AB21" s="29" t="n">
        <v>4.13</v>
      </c>
      <c r="AC21" s="28" t="n"/>
      <c r="AD21" s="28" t="n">
        <v>0.0048</v>
      </c>
      <c r="AE21" s="28" t="n">
        <v>0.75</v>
      </c>
      <c r="AF21" s="29" t="n">
        <v>7.13</v>
      </c>
      <c r="AG21" s="28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Ja'Marr Chase</t>
        </is>
      </c>
      <c r="C23" s="35" t="n">
        <v>1</v>
      </c>
      <c r="D23" s="35" t="inlineStr">
        <is>
          <t>26</t>
        </is>
      </c>
      <c r="E23" s="36" t="inlineStr">
        <is>
          <t>QUESTIONABLE</t>
        </is>
      </c>
      <c r="F23" s="24" t="inlineStr">
        <is>
          <t>CIN</t>
        </is>
      </c>
      <c r="G23" s="24" t="inlineStr">
        <is>
          <t>16</t>
        </is>
      </c>
      <c r="H23" s="25" t="n">
        <v>0.923</v>
      </c>
      <c r="I23" s="25" t="n"/>
      <c r="J23" s="25" t="n"/>
      <c r="K23" s="26" t="n"/>
      <c r="L23" s="25" t="n"/>
      <c r="M23" s="25" t="n">
        <v>0.0081</v>
      </c>
      <c r="N23" s="26" t="n"/>
      <c r="O23" s="25" t="n"/>
      <c r="P23" s="25" t="n"/>
      <c r="Q23" s="25" t="n">
        <v>0.2787</v>
      </c>
      <c r="R23" s="25" t="n">
        <v>0.3043</v>
      </c>
      <c r="S23" s="25" t="n">
        <v>0.694</v>
      </c>
      <c r="T23" s="26" t="n">
        <v>12.14</v>
      </c>
      <c r="U23" s="25" t="n">
        <v>0.2763</v>
      </c>
      <c r="V23" s="25" t="n">
        <v>0.2222</v>
      </c>
      <c r="W23" s="27" t="n">
        <v>17</v>
      </c>
      <c r="X23" s="28" t="n"/>
      <c r="Y23" s="28" t="n"/>
      <c r="Z23" s="28" t="n"/>
      <c r="AA23" s="28" t="n">
        <v>0.0105</v>
      </c>
      <c r="AB23" s="29" t="n">
        <v>4.44</v>
      </c>
      <c r="AC23" s="28" t="n"/>
      <c r="AD23" s="28" t="n">
        <v>0.2742</v>
      </c>
      <c r="AE23" s="28" t="n">
        <v>0.6941000000000001</v>
      </c>
      <c r="AF23" s="29" t="n">
        <v>12.32</v>
      </c>
      <c r="AG23" s="28" t="n">
        <v>0.2973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Tee Higgins</t>
        </is>
      </c>
      <c r="C24" s="22" t="n">
        <v>2</v>
      </c>
      <c r="D24" s="22" t="inlineStr">
        <is>
          <t>27</t>
        </is>
      </c>
      <c r="E24" s="23" t="inlineStr">
        <is>
          <t>ACT</t>
        </is>
      </c>
      <c r="F24" s="24" t="inlineStr">
        <is>
          <t>CIN</t>
        </is>
      </c>
      <c r="G24" s="24" t="inlineStr">
        <is>
          <t>15</t>
        </is>
      </c>
      <c r="H24" s="25" t="n">
        <v>0.789</v>
      </c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>
        <v>0.1736</v>
      </c>
      <c r="R24" s="25" t="n">
        <v>0.1612</v>
      </c>
      <c r="S24" s="25" t="n">
        <v>0.611</v>
      </c>
      <c r="T24" s="26" t="n">
        <v>14.07</v>
      </c>
      <c r="U24" s="25" t="n">
        <v>0.1842</v>
      </c>
      <c r="V24" s="25" t="n">
        <v>0.3056</v>
      </c>
      <c r="W24" s="27" t="n">
        <v>17</v>
      </c>
      <c r="X24" s="28" t="n"/>
      <c r="Y24" s="28" t="n"/>
      <c r="Z24" s="28" t="n"/>
      <c r="AA24" s="28" t="n">
        <v>0.0028</v>
      </c>
      <c r="AB24" s="29" t="n"/>
      <c r="AC24" s="28" t="n"/>
      <c r="AD24" s="28" t="n">
        <v>0.1592</v>
      </c>
      <c r="AE24" s="28" t="n">
        <v>0.6113</v>
      </c>
      <c r="AF24" s="29" t="n">
        <v>13.87</v>
      </c>
      <c r="AG24" s="28" t="n">
        <v>0.2773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Andrei Iosivas</t>
        </is>
      </c>
      <c r="C25" s="35" t="n">
        <v>3</v>
      </c>
      <c r="D25" s="35" t="inlineStr">
        <is>
          <t>26</t>
        </is>
      </c>
      <c r="E25" s="42" t="inlineStr">
        <is>
          <t>ACT</t>
        </is>
      </c>
      <c r="F25" s="24" t="inlineStr">
        <is>
          <t>CIN</t>
        </is>
      </c>
      <c r="G25" s="24" t="inlineStr">
        <is>
          <t>17</t>
        </is>
      </c>
      <c r="H25" s="25" t="n">
        <v>0.668</v>
      </c>
      <c r="I25" s="25" t="n"/>
      <c r="J25" s="25" t="n"/>
      <c r="K25" s="26" t="n"/>
      <c r="L25" s="25" t="n"/>
      <c r="M25" s="25" t="n">
        <v>0.0081</v>
      </c>
      <c r="N25" s="26" t="n"/>
      <c r="O25" s="25" t="n"/>
      <c r="P25" s="25" t="n"/>
      <c r="Q25" s="25" t="n">
        <v>0.09710000000000001</v>
      </c>
      <c r="R25" s="25" t="n">
        <v>0.0954</v>
      </c>
      <c r="S25" s="25" t="n">
        <v>0.581</v>
      </c>
      <c r="T25" s="26" t="n">
        <v>12.18</v>
      </c>
      <c r="U25" s="25" t="n">
        <v>0.0921</v>
      </c>
      <c r="V25" s="25" t="n">
        <v>0.0556</v>
      </c>
      <c r="W25" s="27" t="n">
        <v>17</v>
      </c>
      <c r="X25" s="28" t="n"/>
      <c r="Y25" s="28" t="n"/>
      <c r="Z25" s="28" t="n"/>
      <c r="AA25" s="28" t="n">
        <v>0.0055</v>
      </c>
      <c r="AB25" s="29" t="n">
        <v>4.67</v>
      </c>
      <c r="AC25" s="28" t="n"/>
      <c r="AD25" s="28" t="n">
        <v>0.0927</v>
      </c>
      <c r="AE25" s="28" t="n">
        <v>0.5813</v>
      </c>
      <c r="AF25" s="29" t="n">
        <v>12.26</v>
      </c>
      <c r="AG25" s="28" t="n">
        <v>0.1034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Colbie Young</t>
        </is>
      </c>
      <c r="C26" s="22" t="n">
        <v>4</v>
      </c>
      <c r="D26" s="22" t="inlineStr">
        <is>
          <t>24</t>
        </is>
      </c>
      <c r="E26" s="23" t="inlineStr">
        <is>
          <t>ACT</t>
        </is>
      </c>
      <c r="F26" s="24" t="inlineStr"/>
      <c r="G26" s="24" t="inlineStr"/>
      <c r="H26" s="25" t="n"/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/>
      <c r="R26" s="25" t="n"/>
      <c r="S26" s="25" t="n"/>
      <c r="T26" s="26" t="n"/>
      <c r="U26" s="25" t="n"/>
      <c r="V26" s="25" t="n"/>
      <c r="W26" s="27" t="n">
        <v>17</v>
      </c>
      <c r="X26" s="28" t="n"/>
      <c r="Y26" s="28" t="n"/>
      <c r="Z26" s="28" t="n"/>
      <c r="AA26" s="28" t="n">
        <v>0.0024</v>
      </c>
      <c r="AB26" s="29" t="n"/>
      <c r="AC26" s="28" t="n"/>
      <c r="AD26" s="28" t="n">
        <v>0.022</v>
      </c>
      <c r="AE26" s="28" t="n">
        <v>0.65</v>
      </c>
      <c r="AF26" s="29" t="n">
        <v>12.84</v>
      </c>
      <c r="AG26" s="28" t="n"/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Ke'Shawn Williams</t>
        </is>
      </c>
      <c r="C27" s="35" t="n">
        <v>5</v>
      </c>
      <c r="D27" s="35" t="inlineStr">
        <is>
          <t>24</t>
        </is>
      </c>
      <c r="E27" s="42" t="inlineStr">
        <is>
          <t>ACT</t>
        </is>
      </c>
      <c r="F27" s="24" t="inlineStr">
        <is>
          <t>CIN</t>
        </is>
      </c>
      <c r="G27" s="24" t="inlineStr">
        <is>
          <t>3</t>
        </is>
      </c>
      <c r="H27" s="25" t="n">
        <v>0.056</v>
      </c>
      <c r="I27" s="25" t="n"/>
      <c r="J27" s="25" t="n"/>
      <c r="K27" s="26" t="n"/>
      <c r="L27" s="25" t="n"/>
      <c r="M27" s="25" t="n">
        <v>0.0054</v>
      </c>
      <c r="N27" s="26" t="n"/>
      <c r="O27" s="25" t="n"/>
      <c r="P27" s="25" t="n"/>
      <c r="Q27" s="25" t="n"/>
      <c r="R27" s="25" t="n">
        <v>0.0016</v>
      </c>
      <c r="S27" s="25" t="n"/>
      <c r="T27" s="26" t="n"/>
      <c r="U27" s="25" t="n"/>
      <c r="V27" s="25" t="n"/>
      <c r="W27" s="27" t="n">
        <v>17</v>
      </c>
      <c r="X27" s="28" t="n"/>
      <c r="Y27" s="28" t="n"/>
      <c r="Z27" s="28" t="n"/>
      <c r="AA27" s="28" t="n">
        <v>0.003</v>
      </c>
      <c r="AB27" s="29" t="n"/>
      <c r="AC27" s="28" t="n"/>
      <c r="AD27" s="28" t="n">
        <v>0.0097</v>
      </c>
      <c r="AE27" s="28" t="n">
        <v>1</v>
      </c>
      <c r="AF27" s="29" t="n">
        <v>12.84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Dohnte Meyers</t>
        </is>
      </c>
      <c r="C28" s="22" t="n">
        <v>6</v>
      </c>
      <c r="D28" s="22" t="inlineStr">
        <is>
          <t>26</t>
        </is>
      </c>
      <c r="E28" s="23" t="inlineStr">
        <is>
          <t>ACT</t>
        </is>
      </c>
      <c r="F28" s="24" t="inlineStr"/>
      <c r="G28" s="24" t="inlineStr"/>
      <c r="H28" s="25" t="n"/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/>
      <c r="R28" s="25" t="n"/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0.0022</v>
      </c>
      <c r="AB28" s="29" t="n"/>
      <c r="AC28" s="28" t="n"/>
      <c r="AD28" s="28" t="n">
        <v>0.0094</v>
      </c>
      <c r="AE28" s="28" t="n">
        <v>0.65</v>
      </c>
      <c r="AF28" s="29" t="n">
        <v>12.84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Kendric Pryor</t>
        </is>
      </c>
      <c r="C29" s="35" t="n">
        <v>7</v>
      </c>
      <c r="D29" s="35" t="inlineStr">
        <is>
          <t>28</t>
        </is>
      </c>
      <c r="E29" s="42" t="inlineStr">
        <is>
          <t>ACT</t>
        </is>
      </c>
      <c r="F29" s="24" t="inlineStr"/>
      <c r="G29" s="24" t="inlineStr"/>
      <c r="H29" s="25" t="n">
        <v>0.125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>
        <v>0.0016</v>
      </c>
      <c r="R29" s="25" t="n"/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0.0009</v>
      </c>
      <c r="AB29" s="29" t="n"/>
      <c r="AC29" s="28" t="n"/>
      <c r="AD29" s="28" t="n">
        <v>0.0026</v>
      </c>
      <c r="AE29" s="28" t="n">
        <v>1</v>
      </c>
      <c r="AF29" s="29" t="n">
        <v>9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Noah Thomas</t>
        </is>
      </c>
      <c r="C30" s="22" t="n">
        <v>8</v>
      </c>
      <c r="D30" s="22" t="inlineStr">
        <is>
          <t>22</t>
        </is>
      </c>
      <c r="E30" s="23" t="inlineStr">
        <is>
          <t>ACT</t>
        </is>
      </c>
      <c r="F30" s="24" t="inlineStr"/>
      <c r="G30" s="24" t="inlineStr"/>
      <c r="H30" s="25" t="n"/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/>
      <c r="R30" s="25" t="n"/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0.0022</v>
      </c>
      <c r="AB30" s="29" t="n"/>
      <c r="AC30" s="28" t="n"/>
      <c r="AD30" s="28" t="n">
        <v>0.0094</v>
      </c>
      <c r="AE30" s="28" t="n">
        <v>0.65</v>
      </c>
      <c r="AF30" s="29" t="n">
        <v>12.84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Mike Gesicki</t>
        </is>
      </c>
      <c r="C32" s="22" t="n">
        <v>1</v>
      </c>
      <c r="D32" s="22" t="inlineStr">
        <is>
          <t>30</t>
        </is>
      </c>
      <c r="E32" s="23" t="inlineStr">
        <is>
          <t>ACT</t>
        </is>
      </c>
      <c r="F32" s="24" t="inlineStr">
        <is>
          <t>CIN</t>
        </is>
      </c>
      <c r="G32" s="24" t="inlineStr">
        <is>
          <t>13</t>
        </is>
      </c>
      <c r="H32" s="25" t="n">
        <v>0.428</v>
      </c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>
        <v>0.1322</v>
      </c>
      <c r="R32" s="25" t="n">
        <v>0.06909999999999999</v>
      </c>
      <c r="S32" s="25" t="n">
        <v>0.701</v>
      </c>
      <c r="T32" s="26" t="n">
        <v>10.14</v>
      </c>
      <c r="U32" s="25" t="n">
        <v>0.0921</v>
      </c>
      <c r="V32" s="25" t="n">
        <v>0.0556</v>
      </c>
      <c r="W32" s="27" t="n">
        <v>17</v>
      </c>
      <c r="X32" s="28" t="n"/>
      <c r="Y32" s="28" t="n"/>
      <c r="Z32" s="28" t="n"/>
      <c r="AA32" s="28" t="n">
        <v>0.0012</v>
      </c>
      <c r="AB32" s="29" t="n"/>
      <c r="AC32" s="28" t="n"/>
      <c r="AD32" s="28" t="n">
        <v>0.1062</v>
      </c>
      <c r="AE32" s="28" t="n">
        <v>0.7012</v>
      </c>
      <c r="AF32" s="29" t="n">
        <v>9.970000000000001</v>
      </c>
      <c r="AG32" s="28" t="n">
        <v>0.07149999999999999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Erick All</t>
        </is>
      </c>
      <c r="C33" s="35" t="n">
        <v>2</v>
      </c>
      <c r="D33" s="35" t="inlineStr">
        <is>
          <t>25</t>
        </is>
      </c>
      <c r="E33" s="42" t="inlineStr">
        <is>
          <t>ACT</t>
        </is>
      </c>
      <c r="F33" s="24" t="inlineStr"/>
      <c r="G33" s="24" t="inlineStr"/>
      <c r="H33" s="25" t="n">
        <v>0.419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0.035</v>
      </c>
      <c r="R33" s="25" t="n"/>
      <c r="S33" s="25" t="n">
        <v>0.909</v>
      </c>
      <c r="T33" s="26" t="n">
        <v>7.9</v>
      </c>
      <c r="U33" s="25" t="n"/>
      <c r="V33" s="25" t="n"/>
      <c r="W33" s="27" t="n">
        <v>17</v>
      </c>
      <c r="X33" s="28" t="n"/>
      <c r="Y33" s="28" t="n"/>
      <c r="Z33" s="28" t="n"/>
      <c r="AA33" s="28" t="n">
        <v>0.001</v>
      </c>
      <c r="AB33" s="29" t="n"/>
      <c r="AC33" s="28" t="n"/>
      <c r="AD33" s="28" t="n">
        <v>0.041</v>
      </c>
      <c r="AE33" s="28" t="n">
        <v>0.9091</v>
      </c>
      <c r="AF33" s="29" t="n">
        <v>7.9</v>
      </c>
      <c r="AG33" s="28" t="n"/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Drew Sample</t>
        </is>
      </c>
      <c r="C34" s="22" t="n">
        <v>3</v>
      </c>
      <c r="D34" s="22" t="inlineStr">
        <is>
          <t>30</t>
        </is>
      </c>
      <c r="E34" s="23" t="inlineStr">
        <is>
          <t>ACT</t>
        </is>
      </c>
      <c r="F34" s="24" t="inlineStr">
        <is>
          <t>CIN</t>
        </is>
      </c>
      <c r="G34" s="24" t="inlineStr">
        <is>
          <t>17</t>
        </is>
      </c>
      <c r="H34" s="25" t="n">
        <v>0.53</v>
      </c>
      <c r="I34" s="25" t="n"/>
      <c r="J34" s="25" t="n"/>
      <c r="K34" s="26" t="n"/>
      <c r="L34" s="25" t="n"/>
      <c r="M34" s="25" t="n">
        <v>0.0027</v>
      </c>
      <c r="N34" s="26" t="n"/>
      <c r="O34" s="25" t="n"/>
      <c r="P34" s="25" t="n"/>
      <c r="Q34" s="25" t="n">
        <v>0.035</v>
      </c>
      <c r="R34" s="25" t="n">
        <v>0.0329</v>
      </c>
      <c r="S34" s="25" t="n">
        <v>0.8110000000000001</v>
      </c>
      <c r="T34" s="26" t="n">
        <v>6.65</v>
      </c>
      <c r="U34" s="25" t="n">
        <v>0.0132</v>
      </c>
      <c r="V34" s="25" t="n">
        <v>0.0278</v>
      </c>
      <c r="W34" s="27" t="n">
        <v>17</v>
      </c>
      <c r="X34" s="28" t="n"/>
      <c r="Y34" s="28" t="n"/>
      <c r="Z34" s="28" t="n"/>
      <c r="AA34" s="28" t="n">
        <v>0.0025</v>
      </c>
      <c r="AB34" s="29" t="n"/>
      <c r="AC34" s="28" t="n"/>
      <c r="AD34" s="28" t="n">
        <v>0.0336</v>
      </c>
      <c r="AE34" s="28" t="n">
        <v>0.8107</v>
      </c>
      <c r="AF34" s="29" t="n">
        <v>6.63</v>
      </c>
      <c r="AG34" s="28" t="n">
        <v>0.0374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Tanner Hudson</t>
        </is>
      </c>
      <c r="C35" s="35" t="n">
        <v>4</v>
      </c>
      <c r="D35" s="35" t="inlineStr">
        <is>
          <t>31</t>
        </is>
      </c>
      <c r="E35" s="42" t="inlineStr">
        <is>
          <t>ACT</t>
        </is>
      </c>
      <c r="F35" s="24" t="inlineStr">
        <is>
          <t>CIN</t>
        </is>
      </c>
      <c r="G35" s="24" t="inlineStr">
        <is>
          <t>15</t>
        </is>
      </c>
      <c r="H35" s="25" t="n">
        <v>0.203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>
        <v>0.0366</v>
      </c>
      <c r="R35" s="25" t="n">
        <v>0.0395</v>
      </c>
      <c r="S35" s="25" t="n">
        <v>0.798</v>
      </c>
      <c r="T35" s="26" t="n">
        <v>8.69</v>
      </c>
      <c r="U35" s="25" t="n">
        <v>0.0789</v>
      </c>
      <c r="V35" s="25" t="n">
        <v>0.0556</v>
      </c>
      <c r="W35" s="27" t="n">
        <v>17</v>
      </c>
      <c r="X35" s="28" t="n"/>
      <c r="Y35" s="28" t="n"/>
      <c r="Z35" s="28" t="n"/>
      <c r="AA35" s="28" t="n">
        <v>0.0028</v>
      </c>
      <c r="AB35" s="29" t="n"/>
      <c r="AC35" s="28" t="n"/>
      <c r="AD35" s="28" t="n">
        <v>0.0356</v>
      </c>
      <c r="AE35" s="28" t="n">
        <v>0.7982</v>
      </c>
      <c r="AF35" s="29" t="n">
        <v>8.69</v>
      </c>
      <c r="AG35" s="28" t="n">
        <v>0.0468</v>
      </c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CLE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1074</v>
      </c>
      <c r="D4" s="10">
        <f>$C$4/$B$4</f>
        <v/>
      </c>
      <c r="E4" s="11" t="n">
        <v>0.5923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1030</v>
      </c>
      <c r="M4" s="14" t="n">
        <v>60.5882</v>
      </c>
      <c r="N4" s="15" t="n">
        <v>0.5913</v>
      </c>
      <c r="O4" s="13" t="n">
        <v>558</v>
      </c>
      <c r="P4" s="13" t="n">
        <v>421</v>
      </c>
      <c r="Q4" s="16" t="n">
        <v>5.6487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33.1</v>
      </c>
      <c r="C7" s="11" t="n">
        <v>0.3636</v>
      </c>
      <c r="D7" s="10">
        <f>$B$7*$C$7</f>
        <v/>
      </c>
      <c r="E7" s="10">
        <f>$B$7-$D$7</f>
        <v/>
      </c>
      <c r="F7" s="12" t="n">
        <v>3649</v>
      </c>
      <c r="G7" s="12" t="n">
        <v>1790</v>
      </c>
      <c r="H7" s="12">
        <f>$F$7</f>
        <v/>
      </c>
      <c r="L7" s="13" t="n">
        <v>3152</v>
      </c>
      <c r="M7" s="13" t="n">
        <v>1649</v>
      </c>
      <c r="N7" s="14" t="n">
        <v>16</v>
      </c>
      <c r="O7" s="14" t="n">
        <v>10</v>
      </c>
      <c r="P7" s="14" t="n">
        <v>26</v>
      </c>
      <c r="Q7" s="15" t="n">
        <v>0.3846153846153846</v>
      </c>
    </row>
    <row r="8"/>
    <row r="9">
      <c r="A9" s="5" t="inlineStr">
        <is>
          <t>NOTES</t>
        </is>
      </c>
      <c r="B9" s="18" t="inlineStr">
        <is>
          <t>28% of targets and 10% of carries left this roster.  NEW HC Todd Monken + OC Travis Switzer. Shift toward MORE RUN given QB uncertainty - lower pass rate.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Deshaun Watson</t>
        </is>
      </c>
      <c r="C12" s="22" t="n">
        <v>1</v>
      </c>
      <c r="D12" s="22" t="inlineStr">
        <is>
          <t>30</t>
        </is>
      </c>
      <c r="E12" s="23" t="inlineStr">
        <is>
          <t>ACT</t>
        </is>
      </c>
      <c r="F12" s="24" t="inlineStr"/>
      <c r="G12" s="24" t="inlineStr"/>
      <c r="H12" s="25" t="n">
        <v>0.866</v>
      </c>
      <c r="I12" s="25" t="n"/>
      <c r="J12" s="25" t="n">
        <v>0.627</v>
      </c>
      <c r="K12" s="26" t="n">
        <v>5.75</v>
      </c>
      <c r="L12" s="25" t="n">
        <v>0.017</v>
      </c>
      <c r="M12" s="25" t="n"/>
      <c r="N12" s="26" t="n">
        <v>5.2</v>
      </c>
      <c r="O12" s="25" t="n"/>
      <c r="P12" s="25" t="n"/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0.3622</v>
      </c>
      <c r="Y12" s="28" t="n">
        <v>0.627</v>
      </c>
      <c r="Z12" s="28" t="n">
        <v>0.017</v>
      </c>
      <c r="AA12" s="28" t="n">
        <v>0.0683</v>
      </c>
      <c r="AB12" s="29" t="n">
        <v>5.27</v>
      </c>
      <c r="AC12" s="28" t="n">
        <v>0.08740000000000001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Shedeur Sanders</t>
        </is>
      </c>
      <c r="C13" s="35" t="n">
        <v>2</v>
      </c>
      <c r="D13" s="35" t="inlineStr">
        <is>
          <t>24</t>
        </is>
      </c>
      <c r="E13" s="42" t="inlineStr">
        <is>
          <t>ACT</t>
        </is>
      </c>
      <c r="F13" s="24" t="inlineStr">
        <is>
          <t>CLE</t>
        </is>
      </c>
      <c r="G13" s="24" t="inlineStr">
        <is>
          <t>8</t>
        </is>
      </c>
      <c r="H13" s="25" t="n">
        <v>0.916</v>
      </c>
      <c r="I13" s="25" t="n">
        <v>0.3799</v>
      </c>
      <c r="J13" s="25" t="n">
        <v>0.5659999999999999</v>
      </c>
      <c r="K13" s="26" t="n">
        <v>6.6</v>
      </c>
      <c r="L13" s="25" t="n">
        <v>0.047</v>
      </c>
      <c r="M13" s="25" t="n">
        <v>0.0456</v>
      </c>
      <c r="N13" s="26" t="n"/>
      <c r="O13" s="25" t="n">
        <v>0.0179</v>
      </c>
      <c r="P13" s="25" t="n">
        <v>0.1</v>
      </c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0.4474</v>
      </c>
      <c r="Y13" s="28" t="n">
        <v>0.5659999999999999</v>
      </c>
      <c r="Z13" s="28" t="n">
        <v>0.047</v>
      </c>
      <c r="AA13" s="28" t="n">
        <v>0.0343</v>
      </c>
      <c r="AB13" s="29" t="n">
        <v>4.5</v>
      </c>
      <c r="AC13" s="28" t="n">
        <v>0.0842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Taylen Green</t>
        </is>
      </c>
      <c r="C14" s="22" t="n">
        <v>3</v>
      </c>
      <c r="D14" s="22" t="inlineStr">
        <is>
          <t>23</t>
        </is>
      </c>
      <c r="E14" s="23" t="inlineStr">
        <is>
          <t>ACT</t>
        </is>
      </c>
      <c r="F14" s="24" t="inlineStr"/>
      <c r="G14" s="24" t="inlineStr"/>
      <c r="H14" s="25" t="n"/>
      <c r="I14" s="25" t="n"/>
      <c r="J14" s="25" t="n"/>
      <c r="K14" s="26" t="n"/>
      <c r="L14" s="25" t="n"/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0.1693</v>
      </c>
      <c r="Y14" s="28" t="n">
        <v>0.65</v>
      </c>
      <c r="Z14" s="28" t="n">
        <v>0.022</v>
      </c>
      <c r="AA14" s="28" t="n">
        <v>0.0182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Quinshon Judkins</t>
        </is>
      </c>
      <c r="C16" s="22" t="n">
        <v>1</v>
      </c>
      <c r="D16" s="22" t="inlineStr">
        <is>
          <t>22</t>
        </is>
      </c>
      <c r="E16" s="23" t="inlineStr">
        <is>
          <t>ACT</t>
        </is>
      </c>
      <c r="F16" s="24" t="inlineStr">
        <is>
          <t>CLE</t>
        </is>
      </c>
      <c r="G16" s="24" t="inlineStr">
        <is>
          <t>14</t>
        </is>
      </c>
      <c r="H16" s="25" t="n">
        <v>0.505</v>
      </c>
      <c r="I16" s="25" t="n"/>
      <c r="J16" s="25" t="n"/>
      <c r="K16" s="26" t="n"/>
      <c r="L16" s="25" t="n"/>
      <c r="M16" s="25" t="n">
        <v>0.5516</v>
      </c>
      <c r="N16" s="26" t="n">
        <v>3.6</v>
      </c>
      <c r="O16" s="25" t="n">
        <v>0.5536</v>
      </c>
      <c r="P16" s="25" t="n">
        <v>0.7</v>
      </c>
      <c r="Q16" s="25" t="n"/>
      <c r="R16" s="25" t="n">
        <v>0.06900000000000001</v>
      </c>
      <c r="S16" s="25" t="n">
        <v>0.722</v>
      </c>
      <c r="T16" s="26" t="n">
        <v>6.58</v>
      </c>
      <c r="U16" s="25" t="n"/>
      <c r="V16" s="25" t="n"/>
      <c r="W16" s="27" t="n">
        <v>17</v>
      </c>
      <c r="X16" s="28" t="n"/>
      <c r="Y16" s="28" t="n"/>
      <c r="Z16" s="28" t="n"/>
      <c r="AA16" s="28" t="n">
        <v>0.5027</v>
      </c>
      <c r="AB16" s="29" t="n">
        <v>3.6</v>
      </c>
      <c r="AC16" s="28" t="n">
        <v>0.5897</v>
      </c>
      <c r="AD16" s="28" t="n">
        <v>0.0732</v>
      </c>
      <c r="AE16" s="28" t="n">
        <v>0.7222</v>
      </c>
      <c r="AF16" s="29" t="n">
        <v>6.58</v>
      </c>
      <c r="AG16" s="28" t="n"/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Dylan Sampson</t>
        </is>
      </c>
      <c r="C17" s="35" t="n">
        <v>2</v>
      </c>
      <c r="D17" s="35" t="inlineStr">
        <is>
          <t>21</t>
        </is>
      </c>
      <c r="E17" s="42" t="inlineStr">
        <is>
          <t>ACT</t>
        </is>
      </c>
      <c r="F17" s="24" t="inlineStr">
        <is>
          <t>CLE</t>
        </is>
      </c>
      <c r="G17" s="24" t="inlineStr">
        <is>
          <t>15</t>
        </is>
      </c>
      <c r="H17" s="25" t="n">
        <v>0.265</v>
      </c>
      <c r="I17" s="25" t="n"/>
      <c r="J17" s="25" t="n"/>
      <c r="K17" s="26" t="n"/>
      <c r="L17" s="25" t="n"/>
      <c r="M17" s="25" t="n">
        <v>0.1559</v>
      </c>
      <c r="N17" s="26" t="n">
        <v>2.69</v>
      </c>
      <c r="O17" s="25" t="n">
        <v>0.1071</v>
      </c>
      <c r="P17" s="25" t="n"/>
      <c r="Q17" s="25" t="n"/>
      <c r="R17" s="25" t="n">
        <v>0.0766</v>
      </c>
      <c r="S17" s="25" t="n">
        <v>0.825</v>
      </c>
      <c r="T17" s="26" t="n">
        <v>8.210000000000001</v>
      </c>
      <c r="U17" s="25" t="n">
        <v>0.098</v>
      </c>
      <c r="V17" s="25" t="n">
        <v>0.125</v>
      </c>
      <c r="W17" s="27" t="n">
        <v>17</v>
      </c>
      <c r="X17" s="28" t="n"/>
      <c r="Y17" s="28" t="n"/>
      <c r="Z17" s="28" t="n"/>
      <c r="AA17" s="28" t="n">
        <v>0.179</v>
      </c>
      <c r="AB17" s="29" t="n">
        <v>2.69</v>
      </c>
      <c r="AC17" s="28" t="n"/>
      <c r="AD17" s="28" t="n">
        <v>0.0606</v>
      </c>
      <c r="AE17" s="28" t="n">
        <v>0.825</v>
      </c>
      <c r="AF17" s="29" t="n">
        <v>8.210000000000001</v>
      </c>
      <c r="AG17" s="28" t="n">
        <v>0.1315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Raheim Sanders</t>
        </is>
      </c>
      <c r="C18" s="22" t="n">
        <v>3</v>
      </c>
      <c r="D18" s="22" t="inlineStr">
        <is>
          <t>24</t>
        </is>
      </c>
      <c r="E18" s="23" t="inlineStr">
        <is>
          <t>ACT</t>
        </is>
      </c>
      <c r="F18" s="24" t="inlineStr">
        <is>
          <t>CLE</t>
        </is>
      </c>
      <c r="G18" s="24" t="inlineStr">
        <is>
          <t>4</t>
        </is>
      </c>
      <c r="H18" s="25" t="n">
        <v>0.258</v>
      </c>
      <c r="I18" s="25" t="n"/>
      <c r="J18" s="25" t="n"/>
      <c r="K18" s="26" t="n"/>
      <c r="L18" s="25" t="n"/>
      <c r="M18" s="25" t="n">
        <v>0.06469999999999999</v>
      </c>
      <c r="N18" s="26" t="n">
        <v>3.41</v>
      </c>
      <c r="O18" s="25" t="n">
        <v>0.125</v>
      </c>
      <c r="P18" s="25" t="n">
        <v>0.1</v>
      </c>
      <c r="Q18" s="25" t="n"/>
      <c r="R18" s="25" t="n">
        <v>0.0077</v>
      </c>
      <c r="S18" s="25" t="n"/>
      <c r="T18" s="26" t="n"/>
      <c r="U18" s="25" t="n"/>
      <c r="V18" s="25" t="n"/>
      <c r="W18" s="27" t="n">
        <v>17</v>
      </c>
      <c r="X18" s="28" t="n"/>
      <c r="Y18" s="28" t="n"/>
      <c r="Z18" s="28" t="n"/>
      <c r="AA18" s="28" t="n">
        <v>0.07630000000000001</v>
      </c>
      <c r="AB18" s="29" t="n">
        <v>3.41</v>
      </c>
      <c r="AC18" s="28" t="n">
        <v>0.0842</v>
      </c>
      <c r="AD18" s="28" t="n">
        <v>0.0136</v>
      </c>
      <c r="AE18" s="28" t="n">
        <v>0.75</v>
      </c>
      <c r="AF18" s="29" t="n">
        <v>7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Michael Burton</t>
        </is>
      </c>
      <c r="C19" s="35" t="n">
        <v>4</v>
      </c>
      <c r="D19" s="35" t="inlineStr">
        <is>
          <t>34</t>
        </is>
      </c>
      <c r="E19" s="42" t="inlineStr">
        <is>
          <t>ACT</t>
        </is>
      </c>
      <c r="F19" s="24" t="inlineStr"/>
      <c r="G19" s="24" t="inlineStr"/>
      <c r="H19" s="25" t="n">
        <v>0.164</v>
      </c>
      <c r="I19" s="25" t="n"/>
      <c r="J19" s="25" t="n"/>
      <c r="K19" s="26" t="n"/>
      <c r="L19" s="25" t="n"/>
      <c r="M19" s="25" t="n"/>
      <c r="N19" s="26" t="n"/>
      <c r="O19" s="25" t="n"/>
      <c r="P19" s="25" t="n"/>
      <c r="Q19" s="25" t="n">
        <v>0.0182</v>
      </c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0.0111</v>
      </c>
      <c r="AB19" s="29" t="n">
        <v>4.13</v>
      </c>
      <c r="AC19" s="28" t="n">
        <v>0.0702</v>
      </c>
      <c r="AD19" s="28" t="n">
        <v>0.008999999999999999</v>
      </c>
      <c r="AE19" s="28" t="n">
        <v>1</v>
      </c>
      <c r="AF19" s="29" t="n">
        <v>5.62</v>
      </c>
      <c r="AG19" s="28" t="n">
        <v>0.035</v>
      </c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Benny LeMay</t>
        </is>
      </c>
      <c r="C20" s="22" t="n">
        <v>5</v>
      </c>
      <c r="D20" s="22" t="inlineStr">
        <is>
          <t>24</t>
        </is>
      </c>
      <c r="E20" s="23" t="inlineStr">
        <is>
          <t>ACT</t>
        </is>
      </c>
      <c r="F20" s="24" t="inlineStr"/>
      <c r="G20" s="24" t="inlineStr"/>
      <c r="H20" s="25" t="n"/>
      <c r="I20" s="25" t="n"/>
      <c r="J20" s="25" t="n"/>
      <c r="K20" s="26" t="n"/>
      <c r="L20" s="25" t="n"/>
      <c r="M20" s="25" t="n"/>
      <c r="N20" s="26" t="n"/>
      <c r="O20" s="25" t="n"/>
      <c r="P20" s="25" t="n"/>
      <c r="Q20" s="25" t="n"/>
      <c r="R20" s="25" t="n"/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0.0124</v>
      </c>
      <c r="AB20" s="29" t="n">
        <v>4.13</v>
      </c>
      <c r="AC20" s="28" t="n"/>
      <c r="AD20" s="28" t="n">
        <v>0.0046</v>
      </c>
      <c r="AE20" s="28" t="n">
        <v>0.75</v>
      </c>
      <c r="AF20" s="29" t="n">
        <v>7.13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KC Concepcion</t>
        </is>
      </c>
      <c r="C23" s="35" t="n">
        <v>1</v>
      </c>
      <c r="D23" s="35" t="inlineStr">
        <is>
          <t>21</t>
        </is>
      </c>
      <c r="E23" s="42" t="inlineStr">
        <is>
          <t>ACT</t>
        </is>
      </c>
      <c r="F23" s="24" t="inlineStr"/>
      <c r="G23" s="24" t="inlineStr"/>
      <c r="H23" s="25" t="n"/>
      <c r="I23" s="25" t="n"/>
      <c r="J23" s="25" t="n"/>
      <c r="K23" s="26" t="n"/>
      <c r="L23" s="25" t="n"/>
      <c r="M23" s="25" t="n"/>
      <c r="N23" s="26" t="n"/>
      <c r="O23" s="25" t="n"/>
      <c r="P23" s="25" t="n"/>
      <c r="Q23" s="25" t="n"/>
      <c r="R23" s="25" t="n"/>
      <c r="S23" s="25" t="n"/>
      <c r="T23" s="26" t="n"/>
      <c r="U23" s="25" t="n"/>
      <c r="V23" s="25" t="n"/>
      <c r="W23" s="27" t="n">
        <v>17</v>
      </c>
      <c r="X23" s="28" t="n"/>
      <c r="Y23" s="28" t="n"/>
      <c r="Z23" s="28" t="n"/>
      <c r="AA23" s="28" t="n">
        <v>0.0071</v>
      </c>
      <c r="AB23" s="29" t="n"/>
      <c r="AC23" s="28" t="n"/>
      <c r="AD23" s="28" t="n">
        <v>0.1339</v>
      </c>
      <c r="AE23" s="28" t="n">
        <v>0.65</v>
      </c>
      <c r="AF23" s="29" t="n">
        <v>12.84</v>
      </c>
      <c r="AG23" s="28" t="n"/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Jerry Jeudy</t>
        </is>
      </c>
      <c r="C24" s="22" t="n">
        <v>2</v>
      </c>
      <c r="D24" s="22" t="inlineStr">
        <is>
          <t>27</t>
        </is>
      </c>
      <c r="E24" s="23" t="inlineStr">
        <is>
          <t>ACT</t>
        </is>
      </c>
      <c r="F24" s="24" t="inlineStr">
        <is>
          <t>CLE</t>
        </is>
      </c>
      <c r="G24" s="24" t="inlineStr">
        <is>
          <t>17</t>
        </is>
      </c>
      <c r="H24" s="25" t="n">
        <v>0.824</v>
      </c>
      <c r="I24" s="25" t="n"/>
      <c r="J24" s="25" t="n"/>
      <c r="K24" s="26" t="n"/>
      <c r="L24" s="25" t="n"/>
      <c r="M24" s="25" t="n">
        <v>0.0024</v>
      </c>
      <c r="N24" s="26" t="n"/>
      <c r="O24" s="25" t="n"/>
      <c r="P24" s="25" t="n"/>
      <c r="Q24" s="25" t="n">
        <v>0.2287</v>
      </c>
      <c r="R24" s="25" t="n">
        <v>0.2031</v>
      </c>
      <c r="S24" s="25" t="n">
        <v>0.545</v>
      </c>
      <c r="T24" s="26" t="n">
        <v>12.91</v>
      </c>
      <c r="U24" s="25" t="n">
        <v>0.1765</v>
      </c>
      <c r="V24" s="25" t="n">
        <v>0.125</v>
      </c>
      <c r="W24" s="27" t="n">
        <v>17</v>
      </c>
      <c r="X24" s="28" t="n"/>
      <c r="Y24" s="28" t="n"/>
      <c r="Z24" s="28" t="n"/>
      <c r="AA24" s="28" t="n">
        <v>0.015</v>
      </c>
      <c r="AB24" s="29" t="n">
        <v>5</v>
      </c>
      <c r="AC24" s="28" t="n"/>
      <c r="AD24" s="28" t="n">
        <v>0.2006</v>
      </c>
      <c r="AE24" s="28" t="n">
        <v>0.5453</v>
      </c>
      <c r="AF24" s="29" t="n">
        <v>13.35</v>
      </c>
      <c r="AG24" s="28" t="n">
        <v>0.1481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Denzel Boston</t>
        </is>
      </c>
      <c r="C25" s="35" t="n">
        <v>3</v>
      </c>
      <c r="D25" s="35" t="inlineStr">
        <is>
          <t>22</t>
        </is>
      </c>
      <c r="E25" s="42" t="inlineStr">
        <is>
          <t>ACT</t>
        </is>
      </c>
      <c r="F25" s="24" t="inlineStr"/>
      <c r="G25" s="24" t="inlineStr"/>
      <c r="H25" s="25" t="n"/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/>
      <c r="R25" s="25" t="n"/>
      <c r="S25" s="25" t="n"/>
      <c r="T25" s="26" t="n"/>
      <c r="U25" s="25" t="n"/>
      <c r="V25" s="25" t="n"/>
      <c r="W25" s="27" t="n">
        <v>17</v>
      </c>
      <c r="X25" s="28" t="n"/>
      <c r="Y25" s="28" t="n"/>
      <c r="Z25" s="28" t="n"/>
      <c r="AA25" s="28" t="n">
        <v>0.003</v>
      </c>
      <c r="AB25" s="29" t="n"/>
      <c r="AC25" s="28" t="n"/>
      <c r="AD25" s="28" t="n">
        <v>0.0809</v>
      </c>
      <c r="AE25" s="28" t="n">
        <v>0.65</v>
      </c>
      <c r="AF25" s="29" t="n">
        <v>12.84</v>
      </c>
      <c r="AG25" s="28" t="n"/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Isaiah Bond</t>
        </is>
      </c>
      <c r="C26" s="22" t="n">
        <v>4</v>
      </c>
      <c r="D26" s="22" t="inlineStr">
        <is>
          <t>22</t>
        </is>
      </c>
      <c r="E26" s="23" t="inlineStr">
        <is>
          <t>ACT</t>
        </is>
      </c>
      <c r="F26" s="24" t="inlineStr">
        <is>
          <t>CLE</t>
        </is>
      </c>
      <c r="G26" s="24" t="inlineStr">
        <is>
          <t>16</t>
        </is>
      </c>
      <c r="H26" s="25" t="n">
        <v>0.481</v>
      </c>
      <c r="I26" s="25" t="n"/>
      <c r="J26" s="25" t="n"/>
      <c r="K26" s="26" t="n"/>
      <c r="L26" s="25" t="n"/>
      <c r="M26" s="25" t="n">
        <v>0.012</v>
      </c>
      <c r="N26" s="26" t="n"/>
      <c r="O26" s="25" t="n"/>
      <c r="P26" s="25" t="n"/>
      <c r="Q26" s="25" t="n"/>
      <c r="R26" s="25" t="n">
        <v>0.0843</v>
      </c>
      <c r="S26" s="25" t="n">
        <v>0.409</v>
      </c>
      <c r="T26" s="26" t="n">
        <v>18.78</v>
      </c>
      <c r="U26" s="25" t="n">
        <v>0.0784</v>
      </c>
      <c r="V26" s="25" t="n"/>
      <c r="W26" s="27" t="n">
        <v>17</v>
      </c>
      <c r="X26" s="28" t="n"/>
      <c r="Y26" s="28" t="n"/>
      <c r="Z26" s="28" t="n"/>
      <c r="AA26" s="28" t="n">
        <v>0.0036</v>
      </c>
      <c r="AB26" s="29" t="n">
        <v>5.8</v>
      </c>
      <c r="AC26" s="28" t="n"/>
      <c r="AD26" s="28" t="n">
        <v>0.057</v>
      </c>
      <c r="AE26" s="28" t="n">
        <v>0.4091</v>
      </c>
      <c r="AF26" s="29" t="n">
        <v>18.78</v>
      </c>
      <c r="AG26" s="28" t="n"/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Malachi Corley</t>
        </is>
      </c>
      <c r="C27" s="35" t="n">
        <v>5</v>
      </c>
      <c r="D27" s="35" t="inlineStr">
        <is>
          <t>24</t>
        </is>
      </c>
      <c r="E27" s="42" t="inlineStr">
        <is>
          <t>ACT</t>
        </is>
      </c>
      <c r="F27" s="24" t="inlineStr">
        <is>
          <t>CLE</t>
        </is>
      </c>
      <c r="G27" s="24" t="inlineStr">
        <is>
          <t>13</t>
        </is>
      </c>
      <c r="H27" s="25" t="n">
        <v>0.229</v>
      </c>
      <c r="I27" s="25" t="n"/>
      <c r="J27" s="25" t="n"/>
      <c r="K27" s="26" t="n"/>
      <c r="L27" s="25" t="n"/>
      <c r="M27" s="25" t="n">
        <v>0.0312</v>
      </c>
      <c r="N27" s="26" t="n"/>
      <c r="O27" s="25" t="n">
        <v>0.0179</v>
      </c>
      <c r="P27" s="25" t="n"/>
      <c r="Q27" s="25" t="n">
        <v>0.0102</v>
      </c>
      <c r="R27" s="25" t="n">
        <v>0.0268</v>
      </c>
      <c r="S27" s="25" t="n"/>
      <c r="T27" s="26" t="n"/>
      <c r="U27" s="25" t="n">
        <v>0.0196</v>
      </c>
      <c r="V27" s="25" t="n"/>
      <c r="W27" s="27" t="n">
        <v>17</v>
      </c>
      <c r="X27" s="28" t="n"/>
      <c r="Y27" s="28" t="n"/>
      <c r="Z27" s="28" t="n"/>
      <c r="AA27" s="28" t="n">
        <v>0.0053</v>
      </c>
      <c r="AB27" s="29" t="n"/>
      <c r="AC27" s="28" t="n"/>
      <c r="AD27" s="28" t="n">
        <v>0.0177</v>
      </c>
      <c r="AE27" s="28" t="n">
        <v>0.7019</v>
      </c>
      <c r="AF27" s="29" t="n">
        <v>6.79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Tylan Wallace</t>
        </is>
      </c>
      <c r="C28" s="22" t="n">
        <v>6</v>
      </c>
      <c r="D28" s="22" t="inlineStr">
        <is>
          <t>27</t>
        </is>
      </c>
      <c r="E28" s="23" t="inlineStr">
        <is>
          <t>ACT</t>
        </is>
      </c>
      <c r="F28" s="24" t="inlineStr">
        <is>
          <t>BAL</t>
        </is>
      </c>
      <c r="G28" s="24" t="inlineStr">
        <is>
          <t>14</t>
        </is>
      </c>
      <c r="H28" s="25" t="n">
        <v>0.213</v>
      </c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>
        <v>0.0263</v>
      </c>
      <c r="R28" s="25" t="n">
        <v>0.0197</v>
      </c>
      <c r="S28" s="25" t="n"/>
      <c r="T28" s="26" t="n"/>
      <c r="U28" s="25" t="n">
        <v>0.0385</v>
      </c>
      <c r="V28" s="25" t="n">
        <v>0.0435</v>
      </c>
      <c r="W28" s="27" t="n">
        <v>17</v>
      </c>
      <c r="X28" s="28" t="n"/>
      <c r="Y28" s="28" t="n"/>
      <c r="Z28" s="28" t="n"/>
      <c r="AA28" s="28" t="n">
        <v>0.0023</v>
      </c>
      <c r="AB28" s="29" t="n"/>
      <c r="AC28" s="28" t="n"/>
      <c r="AD28" s="28" t="n">
        <v>0.0054</v>
      </c>
      <c r="AE28" s="28" t="n">
        <v>0.6486</v>
      </c>
      <c r="AF28" s="29" t="n">
        <v>15.56</v>
      </c>
      <c r="AG28" s="28" t="n">
        <v>0.0372</v>
      </c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n"/>
      <c r="C29" s="34" t="n"/>
      <c r="D29" s="34" t="n"/>
      <c r="E29" s="34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40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Harold Fannin</t>
        </is>
      </c>
      <c r="C32" s="22" t="n">
        <v>1</v>
      </c>
      <c r="D32" s="22" t="inlineStr">
        <is>
          <t>22</t>
        </is>
      </c>
      <c r="E32" s="23" t="inlineStr">
        <is>
          <t>ACT</t>
        </is>
      </c>
      <c r="F32" s="24" t="inlineStr">
        <is>
          <t>CLE</t>
        </is>
      </c>
      <c r="G32" s="24" t="inlineStr">
        <is>
          <t>16</t>
        </is>
      </c>
      <c r="H32" s="25" t="n">
        <v>0.759</v>
      </c>
      <c r="I32" s="25" t="n"/>
      <c r="J32" s="25" t="n"/>
      <c r="K32" s="26" t="n"/>
      <c r="L32" s="25" t="n"/>
      <c r="M32" s="25" t="n">
        <v>0.0168</v>
      </c>
      <c r="N32" s="26" t="n"/>
      <c r="O32" s="25" t="n">
        <v>0.0357</v>
      </c>
      <c r="P32" s="25" t="n">
        <v>0.1</v>
      </c>
      <c r="Q32" s="25" t="n"/>
      <c r="R32" s="25" t="n">
        <v>0.205</v>
      </c>
      <c r="S32" s="25" t="n">
        <v>0.673</v>
      </c>
      <c r="T32" s="26" t="n">
        <v>10.15</v>
      </c>
      <c r="U32" s="25" t="n">
        <v>0.1961</v>
      </c>
      <c r="V32" s="25" t="n">
        <v>0.375</v>
      </c>
      <c r="W32" s="27" t="n">
        <v>17</v>
      </c>
      <c r="X32" s="28" t="n"/>
      <c r="Y32" s="28" t="n"/>
      <c r="Z32" s="28" t="n"/>
      <c r="AA32" s="28" t="n">
        <v>0.013</v>
      </c>
      <c r="AB32" s="29" t="n"/>
      <c r="AC32" s="28" t="n">
        <v>0.0842</v>
      </c>
      <c r="AD32" s="28" t="n">
        <v>0.1798</v>
      </c>
      <c r="AE32" s="28" t="n">
        <v>0.6729000000000001</v>
      </c>
      <c r="AF32" s="29" t="n">
        <v>10.15</v>
      </c>
      <c r="AG32" s="28" t="n">
        <v>0.3944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Blake Whiteheart</t>
        </is>
      </c>
      <c r="C33" s="35" t="n">
        <v>2</v>
      </c>
      <c r="D33" s="35" t="inlineStr">
        <is>
          <t>26</t>
        </is>
      </c>
      <c r="E33" s="42" t="inlineStr">
        <is>
          <t>ACT</t>
        </is>
      </c>
      <c r="F33" s="24" t="inlineStr">
        <is>
          <t>CLE</t>
        </is>
      </c>
      <c r="G33" s="24" t="inlineStr">
        <is>
          <t>17</t>
        </is>
      </c>
      <c r="H33" s="25" t="n">
        <v>0.216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0.0142</v>
      </c>
      <c r="R33" s="25" t="n">
        <v>0.0115</v>
      </c>
      <c r="S33" s="25" t="n"/>
      <c r="T33" s="26" t="n"/>
      <c r="U33" s="25" t="n"/>
      <c r="V33" s="25" t="n"/>
      <c r="W33" s="27" t="n">
        <v>17</v>
      </c>
      <c r="X33" s="28" t="n"/>
      <c r="Y33" s="28" t="n"/>
      <c r="Z33" s="28" t="n"/>
      <c r="AA33" s="28" t="n">
        <v>0.0009</v>
      </c>
      <c r="AB33" s="29" t="n"/>
      <c r="AC33" s="28" t="n"/>
      <c r="AD33" s="28" t="n">
        <v>0.0141</v>
      </c>
      <c r="AE33" s="28" t="n">
        <v>0.4266</v>
      </c>
      <c r="AF33" s="29" t="n">
        <v>6.88</v>
      </c>
      <c r="AG33" s="28" t="n">
        <v>0.0553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Carsen Ryan</t>
        </is>
      </c>
      <c r="C34" s="22" t="n">
        <v>3</v>
      </c>
      <c r="D34" s="22" t="inlineStr">
        <is>
          <t>23</t>
        </is>
      </c>
      <c r="E34" s="23" t="inlineStr">
        <is>
          <t>ACT</t>
        </is>
      </c>
      <c r="F34" s="24" t="inlineStr"/>
      <c r="G34" s="24" t="inlineStr"/>
      <c r="H34" s="25" t="n"/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/>
      <c r="R34" s="25" t="n"/>
      <c r="S34" s="25" t="n"/>
      <c r="T34" s="26" t="n"/>
      <c r="U34" s="25" t="n"/>
      <c r="V34" s="25" t="n"/>
      <c r="W34" s="27" t="n">
        <v>17</v>
      </c>
      <c r="X34" s="28" t="n"/>
      <c r="Y34" s="28" t="n"/>
      <c r="Z34" s="28" t="n"/>
      <c r="AA34" s="28" t="n">
        <v>0.0023</v>
      </c>
      <c r="AB34" s="29" t="n"/>
      <c r="AC34" s="28" t="n"/>
      <c r="AD34" s="28" t="n">
        <v>0.0188</v>
      </c>
      <c r="AE34" s="28" t="n">
        <v>0.65</v>
      </c>
      <c r="AF34" s="29" t="n">
        <v>10.32</v>
      </c>
      <c r="AG34" s="28" t="n"/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Joe Royer</t>
        </is>
      </c>
      <c r="C35" s="35" t="n">
        <v>4</v>
      </c>
      <c r="D35" s="35" t="inlineStr">
        <is>
          <t>24</t>
        </is>
      </c>
      <c r="E35" s="36" t="inlineStr">
        <is>
          <t>PUP</t>
        </is>
      </c>
      <c r="F35" s="24" t="inlineStr"/>
      <c r="G35" s="24" t="inlineStr"/>
      <c r="H35" s="25" t="n"/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0.0023</v>
      </c>
      <c r="AB35" s="29" t="n"/>
      <c r="AC35" s="28" t="n"/>
      <c r="AD35" s="28" t="n">
        <v>0.0575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DAL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1091</v>
      </c>
      <c r="D4" s="10">
        <f>$C$4/$B$4</f>
        <v/>
      </c>
      <c r="E4" s="11" t="n">
        <v>0.5845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1120</v>
      </c>
      <c r="M4" s="14" t="n">
        <v>65.8824</v>
      </c>
      <c r="N4" s="15" t="n">
        <v>0.5848</v>
      </c>
      <c r="O4" s="13" t="n">
        <v>624</v>
      </c>
      <c r="P4" s="13" t="n">
        <v>465</v>
      </c>
      <c r="Q4" s="16" t="n">
        <v>7.5881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45.5</v>
      </c>
      <c r="C7" s="11" t="n">
        <v>0.3333</v>
      </c>
      <c r="D7" s="10">
        <f>$B$7*$C$7</f>
        <v/>
      </c>
      <c r="E7" s="10">
        <f>$B$7-$D$7</f>
        <v/>
      </c>
      <c r="F7" s="12" t="n">
        <v>4320</v>
      </c>
      <c r="G7" s="12" t="n">
        <v>1957</v>
      </c>
      <c r="H7" s="12">
        <f>$F$7</f>
        <v/>
      </c>
      <c r="L7" s="13" t="n">
        <v>4735</v>
      </c>
      <c r="M7" s="13" t="n">
        <v>2136</v>
      </c>
      <c r="N7" s="14" t="n">
        <v>31</v>
      </c>
      <c r="O7" s="14" t="n">
        <v>18</v>
      </c>
      <c r="P7" s="14" t="n">
        <v>49</v>
      </c>
      <c r="Q7" s="15" t="n">
        <v>0.3673469387755102</v>
      </c>
    </row>
    <row r="8"/>
    <row r="9">
      <c r="A9" s="5" t="inlineStr">
        <is>
          <t>NOTES</t>
        </is>
      </c>
      <c r="B9" s="18" t="inlineStr">
        <is>
          <t>7% of targets and 14% of carries left this roster.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Dak Prescott</t>
        </is>
      </c>
      <c r="C12" s="22" t="n">
        <v>1</v>
      </c>
      <c r="D12" s="22" t="inlineStr">
        <is>
          <t>33</t>
        </is>
      </c>
      <c r="E12" s="23" t="inlineStr">
        <is>
          <t>ACT</t>
        </is>
      </c>
      <c r="F12" s="24" t="inlineStr">
        <is>
          <t>DAL</t>
        </is>
      </c>
      <c r="G12" s="24" t="inlineStr">
        <is>
          <t>17</t>
        </is>
      </c>
      <c r="H12" s="25" t="n">
        <v>0.9360000000000001</v>
      </c>
      <c r="I12" s="25" t="n">
        <v>0.9615</v>
      </c>
      <c r="J12" s="25" t="n">
        <v>0.674</v>
      </c>
      <c r="K12" s="26" t="n">
        <v>7.49</v>
      </c>
      <c r="L12" s="25" t="n">
        <v>0.018</v>
      </c>
      <c r="M12" s="25" t="n">
        <v>0.0824</v>
      </c>
      <c r="N12" s="26" t="n">
        <v>5.02</v>
      </c>
      <c r="O12" s="25" t="n">
        <v>0.1379</v>
      </c>
      <c r="P12" s="25" t="n">
        <v>0.1111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0.5004999999999999</v>
      </c>
      <c r="Y12" s="28" t="n">
        <v>0.674</v>
      </c>
      <c r="Z12" s="28" t="n">
        <v>0.018</v>
      </c>
      <c r="AA12" s="28" t="n">
        <v>0.07729999999999999</v>
      </c>
      <c r="AB12" s="29" t="n">
        <v>5.2</v>
      </c>
      <c r="AC12" s="28" t="n">
        <v>0.0859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Joe Milton</t>
        </is>
      </c>
      <c r="C13" s="35" t="n">
        <v>2</v>
      </c>
      <c r="D13" s="35" t="inlineStr">
        <is>
          <t>26</t>
        </is>
      </c>
      <c r="E13" s="42" t="inlineStr">
        <is>
          <t>ACT</t>
        </is>
      </c>
      <c r="F13" s="24" t="inlineStr">
        <is>
          <t>DAL</t>
        </is>
      </c>
      <c r="G13" s="24" t="inlineStr">
        <is>
          <t>4</t>
        </is>
      </c>
      <c r="H13" s="25" t="n">
        <v>0.487</v>
      </c>
      <c r="I13" s="25" t="n">
        <v>0.0385</v>
      </c>
      <c r="J13" s="25" t="n">
        <v>0.642</v>
      </c>
      <c r="K13" s="26" t="n">
        <v>7.71</v>
      </c>
      <c r="L13" s="25" t="n">
        <v>0.07199999999999999</v>
      </c>
      <c r="M13" s="25" t="n">
        <v>0.0111</v>
      </c>
      <c r="N13" s="26" t="n"/>
      <c r="O13" s="25" t="n">
        <v>0.0115</v>
      </c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0.0232</v>
      </c>
      <c r="Y13" s="28" t="n">
        <v>0.642</v>
      </c>
      <c r="Z13" s="28" t="n">
        <v>0.07199999999999999</v>
      </c>
      <c r="AA13" s="28" t="n">
        <v>0.013</v>
      </c>
      <c r="AB13" s="29" t="n">
        <v>5.5</v>
      </c>
      <c r="AC13" s="28" t="n">
        <v>0.061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Sam Howell</t>
        </is>
      </c>
      <c r="C14" s="22" t="n">
        <v>3</v>
      </c>
      <c r="D14" s="22" t="inlineStr">
        <is>
          <t>25</t>
        </is>
      </c>
      <c r="E14" s="23" t="inlineStr">
        <is>
          <t>ACT</t>
        </is>
      </c>
      <c r="F14" s="24" t="inlineStr"/>
      <c r="G14" s="24" t="inlineStr"/>
      <c r="H14" s="25" t="n">
        <v>0.511</v>
      </c>
      <c r="I14" s="25" t="n"/>
      <c r="J14" s="25" t="n">
        <v>0.634</v>
      </c>
      <c r="K14" s="26" t="n">
        <v>6.45</v>
      </c>
      <c r="L14" s="25" t="n">
        <v>0.034</v>
      </c>
      <c r="M14" s="25" t="n"/>
      <c r="N14" s="26" t="n">
        <v>5.98</v>
      </c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0.4697</v>
      </c>
      <c r="Y14" s="28" t="n">
        <v>0.634</v>
      </c>
      <c r="Z14" s="28" t="n">
        <v>0.034</v>
      </c>
      <c r="AA14" s="28" t="n">
        <v>0.06950000000000001</v>
      </c>
      <c r="AB14" s="29" t="n">
        <v>5.89</v>
      </c>
      <c r="AC14" s="28" t="n">
        <v>0.2396</v>
      </c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Javonte Williams</t>
        </is>
      </c>
      <c r="C16" s="22" t="n">
        <v>1</v>
      </c>
      <c r="D16" s="22" t="inlineStr">
        <is>
          <t>26</t>
        </is>
      </c>
      <c r="E16" s="23" t="inlineStr">
        <is>
          <t>ACT</t>
        </is>
      </c>
      <c r="F16" s="24" t="inlineStr">
        <is>
          <t>DAL</t>
        </is>
      </c>
      <c r="G16" s="24" t="inlineStr">
        <is>
          <t>16</t>
        </is>
      </c>
      <c r="H16" s="25" t="n">
        <v>0.598</v>
      </c>
      <c r="I16" s="25" t="n"/>
      <c r="J16" s="25" t="n"/>
      <c r="K16" s="26" t="n"/>
      <c r="L16" s="25" t="n"/>
      <c r="M16" s="25" t="n">
        <v>0.5612</v>
      </c>
      <c r="N16" s="26" t="n">
        <v>4.19</v>
      </c>
      <c r="O16" s="25" t="n">
        <v>0.5862000000000001</v>
      </c>
      <c r="P16" s="25" t="n">
        <v>0.6111</v>
      </c>
      <c r="Q16" s="25" t="n">
        <v>0.1275</v>
      </c>
      <c r="R16" s="25" t="n">
        <v>0.08400000000000001</v>
      </c>
      <c r="S16" s="25" t="n">
        <v>0.728</v>
      </c>
      <c r="T16" s="26" t="n">
        <v>4.96</v>
      </c>
      <c r="U16" s="25" t="n">
        <v>0.1224</v>
      </c>
      <c r="V16" s="25" t="n">
        <v>0.0645</v>
      </c>
      <c r="W16" s="27" t="n">
        <v>17</v>
      </c>
      <c r="X16" s="28" t="n"/>
      <c r="Y16" s="28" t="n"/>
      <c r="Z16" s="28" t="n"/>
      <c r="AA16" s="28" t="n">
        <v>0.488</v>
      </c>
      <c r="AB16" s="29" t="n">
        <v>4.09</v>
      </c>
      <c r="AC16" s="28" t="n">
        <v>0.3206</v>
      </c>
      <c r="AD16" s="28" t="n">
        <v>0.094</v>
      </c>
      <c r="AE16" s="28" t="n">
        <v>0.7282999999999999</v>
      </c>
      <c r="AF16" s="29" t="n">
        <v>5.31</v>
      </c>
      <c r="AG16" s="28" t="n">
        <v>0.0551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Malik Davis</t>
        </is>
      </c>
      <c r="C17" s="35" t="n">
        <v>2</v>
      </c>
      <c r="D17" s="35" t="inlineStr">
        <is>
          <t>27</t>
        </is>
      </c>
      <c r="E17" s="42" t="inlineStr">
        <is>
          <t>ACT</t>
        </is>
      </c>
      <c r="F17" s="24" t="inlineStr">
        <is>
          <t>DAL</t>
        </is>
      </c>
      <c r="G17" s="24" t="inlineStr">
        <is>
          <t>10</t>
        </is>
      </c>
      <c r="H17" s="25" t="n">
        <v>0.207</v>
      </c>
      <c r="I17" s="25" t="n"/>
      <c r="J17" s="25" t="n"/>
      <c r="K17" s="26" t="n"/>
      <c r="L17" s="25" t="n"/>
      <c r="M17" s="25" t="n">
        <v>0.1158</v>
      </c>
      <c r="N17" s="26" t="n">
        <v>4.81</v>
      </c>
      <c r="O17" s="25" t="n">
        <v>0.092</v>
      </c>
      <c r="P17" s="25" t="n">
        <v>0.1111</v>
      </c>
      <c r="Q17" s="25" t="n"/>
      <c r="R17" s="25" t="n">
        <v>0.008200000000000001</v>
      </c>
      <c r="S17" s="25" t="n"/>
      <c r="T17" s="26" t="n"/>
      <c r="U17" s="25" t="n"/>
      <c r="V17" s="25" t="n"/>
      <c r="W17" s="27" t="n">
        <v>17</v>
      </c>
      <c r="X17" s="28" t="n"/>
      <c r="Y17" s="28" t="n"/>
      <c r="Z17" s="28" t="n"/>
      <c r="AA17" s="28" t="n">
        <v>0.1434</v>
      </c>
      <c r="AB17" s="29" t="n">
        <v>4.81</v>
      </c>
      <c r="AC17" s="28" t="n">
        <v>0.0745</v>
      </c>
      <c r="AD17" s="28" t="n">
        <v>0.0183</v>
      </c>
      <c r="AE17" s="28" t="n">
        <v>0.4</v>
      </c>
      <c r="AF17" s="29" t="n">
        <v>8</v>
      </c>
      <c r="AG17" s="28" t="n"/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Jashaun Corbin</t>
        </is>
      </c>
      <c r="C18" s="22" t="n">
        <v>3</v>
      </c>
      <c r="D18" s="22" t="inlineStr">
        <is>
          <t>26</t>
        </is>
      </c>
      <c r="E18" s="23" t="inlineStr">
        <is>
          <t>ACT</t>
        </is>
      </c>
      <c r="F18" s="24" t="inlineStr"/>
      <c r="G18" s="24" t="inlineStr"/>
      <c r="H18" s="25" t="n">
        <v>0.26</v>
      </c>
      <c r="I18" s="25" t="n"/>
      <c r="J18" s="25" t="n"/>
      <c r="K18" s="26" t="n"/>
      <c r="L18" s="25" t="n"/>
      <c r="M18" s="25" t="n"/>
      <c r="N18" s="26" t="n"/>
      <c r="O18" s="25" t="n"/>
      <c r="P18" s="25" t="n"/>
      <c r="Q18" s="25" t="n"/>
      <c r="R18" s="25" t="n"/>
      <c r="S18" s="25" t="n"/>
      <c r="T18" s="26" t="n"/>
      <c r="U18" s="25" t="n"/>
      <c r="V18" s="25" t="n"/>
      <c r="W18" s="27" t="n">
        <v>17</v>
      </c>
      <c r="X18" s="28" t="n"/>
      <c r="Y18" s="28" t="n"/>
      <c r="Z18" s="28" t="n"/>
      <c r="AA18" s="28" t="n">
        <v>0.008999999999999999</v>
      </c>
      <c r="AB18" s="29" t="n">
        <v>4.13</v>
      </c>
      <c r="AC18" s="28" t="n"/>
      <c r="AD18" s="28" t="n">
        <v>0.0049</v>
      </c>
      <c r="AE18" s="28" t="n">
        <v>1</v>
      </c>
      <c r="AF18" s="29" t="n">
        <v>4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Hunter Luepke</t>
        </is>
      </c>
      <c r="C19" s="35" t="n">
        <v>4</v>
      </c>
      <c r="D19" s="35" t="inlineStr">
        <is>
          <t>26</t>
        </is>
      </c>
      <c r="E19" s="42" t="inlineStr">
        <is>
          <t>ACT</t>
        </is>
      </c>
      <c r="F19" s="24" t="inlineStr">
        <is>
          <t>DAL</t>
        </is>
      </c>
      <c r="G19" s="24" t="inlineStr">
        <is>
          <t>17</t>
        </is>
      </c>
      <c r="H19" s="25" t="n">
        <v>0.221</v>
      </c>
      <c r="I19" s="25" t="n"/>
      <c r="J19" s="25" t="n"/>
      <c r="K19" s="26" t="n"/>
      <c r="L19" s="25" t="n"/>
      <c r="M19" s="25" t="n">
        <v>0.0356</v>
      </c>
      <c r="N19" s="26" t="n"/>
      <c r="O19" s="25" t="n">
        <v>0.0115</v>
      </c>
      <c r="P19" s="25" t="n"/>
      <c r="Q19" s="25" t="n">
        <v>0.0257</v>
      </c>
      <c r="R19" s="25" t="n">
        <v>0.0247</v>
      </c>
      <c r="S19" s="25" t="n">
        <v>0.825</v>
      </c>
      <c r="T19" s="26" t="n">
        <v>8.699999999999999</v>
      </c>
      <c r="U19" s="25" t="n">
        <v>0.0408</v>
      </c>
      <c r="V19" s="25" t="n">
        <v>0.0323</v>
      </c>
      <c r="W19" s="27" t="n">
        <v>17</v>
      </c>
      <c r="X19" s="28" t="n"/>
      <c r="Y19" s="28" t="n"/>
      <c r="Z19" s="28" t="n"/>
      <c r="AA19" s="28" t="n">
        <v>0.0276</v>
      </c>
      <c r="AB19" s="29" t="n">
        <v>4.13</v>
      </c>
      <c r="AC19" s="28" t="n">
        <v>0.0492</v>
      </c>
      <c r="AD19" s="28" t="n">
        <v>0.0151</v>
      </c>
      <c r="AE19" s="28" t="n">
        <v>0.8094</v>
      </c>
      <c r="AF19" s="29" t="n">
        <v>8.699999999999999</v>
      </c>
      <c r="AG19" s="28" t="n">
        <v>0.0284</v>
      </c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Ito Smith</t>
        </is>
      </c>
      <c r="C20" s="22" t="n">
        <v>5</v>
      </c>
      <c r="D20" s="22" t="inlineStr">
        <is>
          <t>26</t>
        </is>
      </c>
      <c r="E20" s="23" t="inlineStr">
        <is>
          <t>ACT</t>
        </is>
      </c>
      <c r="F20" s="24" t="inlineStr"/>
      <c r="G20" s="24" t="inlineStr"/>
      <c r="H20" s="25" t="n"/>
      <c r="I20" s="25" t="n"/>
      <c r="J20" s="25" t="n"/>
      <c r="K20" s="26" t="n"/>
      <c r="L20" s="25" t="n"/>
      <c r="M20" s="25" t="n"/>
      <c r="N20" s="26" t="n"/>
      <c r="O20" s="25" t="n"/>
      <c r="P20" s="25" t="n"/>
      <c r="Q20" s="25" t="n"/>
      <c r="R20" s="25" t="n"/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0.0199</v>
      </c>
      <c r="AB20" s="29" t="n">
        <v>4.13</v>
      </c>
      <c r="AC20" s="28" t="n"/>
      <c r="AD20" s="28" t="n">
        <v>0.0034</v>
      </c>
      <c r="AE20" s="28" t="n">
        <v>0.75</v>
      </c>
      <c r="AF20" s="29" t="n">
        <v>7.13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inlineStr">
        <is>
          <t>Israel Abanikanda</t>
        </is>
      </c>
      <c r="C21" s="35" t="n">
        <v>6</v>
      </c>
      <c r="D21" s="35" t="inlineStr">
        <is>
          <t>23</t>
        </is>
      </c>
      <c r="E21" s="42" t="inlineStr">
        <is>
          <t>ACT</t>
        </is>
      </c>
      <c r="F21" s="24" t="inlineStr"/>
      <c r="G21" s="24" t="inlineStr"/>
      <c r="H21" s="25" t="n">
        <v>0.192</v>
      </c>
      <c r="I21" s="25" t="n"/>
      <c r="J21" s="25" t="n"/>
      <c r="K21" s="26" t="n"/>
      <c r="L21" s="25" t="n"/>
      <c r="M21" s="25" t="n"/>
      <c r="N21" s="26" t="n">
        <v>3.18</v>
      </c>
      <c r="O21" s="25" t="n"/>
      <c r="P21" s="25" t="n"/>
      <c r="Q21" s="25" t="n"/>
      <c r="R21" s="25" t="n"/>
      <c r="S21" s="25" t="n"/>
      <c r="T21" s="26" t="n"/>
      <c r="U21" s="25" t="n"/>
      <c r="V21" s="25" t="n"/>
      <c r="W21" s="27" t="n">
        <v>17</v>
      </c>
      <c r="X21" s="28" t="n"/>
      <c r="Y21" s="28" t="n"/>
      <c r="Z21" s="28" t="n"/>
      <c r="AA21" s="28" t="n">
        <v>0.0415</v>
      </c>
      <c r="AB21" s="29" t="n">
        <v>3.18</v>
      </c>
      <c r="AC21" s="28" t="n"/>
      <c r="AD21" s="28" t="n">
        <v>0.0122</v>
      </c>
      <c r="AE21" s="28" t="n">
        <v>0.6364</v>
      </c>
      <c r="AF21" s="29" t="n">
        <v>6.14</v>
      </c>
      <c r="AG21" s="28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CeeDee Lamb</t>
        </is>
      </c>
      <c r="C23" s="35" t="n">
        <v>1</v>
      </c>
      <c r="D23" s="35" t="inlineStr">
        <is>
          <t>27</t>
        </is>
      </c>
      <c r="E23" s="42" t="inlineStr">
        <is>
          <t>ACT</t>
        </is>
      </c>
      <c r="F23" s="24" t="inlineStr">
        <is>
          <t>DAL</t>
        </is>
      </c>
      <c r="G23" s="24" t="inlineStr">
        <is>
          <t>14</t>
        </is>
      </c>
      <c r="H23" s="25" t="n">
        <v>0.772</v>
      </c>
      <c r="I23" s="25" t="n"/>
      <c r="J23" s="25" t="n"/>
      <c r="K23" s="26" t="n"/>
      <c r="L23" s="25" t="n"/>
      <c r="M23" s="25" t="n">
        <v>0.0022</v>
      </c>
      <c r="N23" s="26" t="n"/>
      <c r="O23" s="25" t="n"/>
      <c r="P23" s="25" t="n"/>
      <c r="Q23" s="25" t="n">
        <v>0.2444</v>
      </c>
      <c r="R23" s="25" t="n">
        <v>0.1928</v>
      </c>
      <c r="S23" s="25" t="n">
        <v>0.672</v>
      </c>
      <c r="T23" s="26" t="n">
        <v>13.27</v>
      </c>
      <c r="U23" s="25" t="n">
        <v>0.1735</v>
      </c>
      <c r="V23" s="25" t="n">
        <v>0.0968</v>
      </c>
      <c r="W23" s="27" t="n">
        <v>17</v>
      </c>
      <c r="X23" s="28" t="n"/>
      <c r="Y23" s="28" t="n"/>
      <c r="Z23" s="28" t="n"/>
      <c r="AA23" s="28" t="n">
        <v>0.0249</v>
      </c>
      <c r="AB23" s="29" t="n">
        <v>6.38</v>
      </c>
      <c r="AC23" s="28" t="n">
        <v>0.0959</v>
      </c>
      <c r="AD23" s="28" t="n">
        <v>0.2203</v>
      </c>
      <c r="AE23" s="28" t="n">
        <v>0.672</v>
      </c>
      <c r="AF23" s="29" t="n">
        <v>12.93</v>
      </c>
      <c r="AG23" s="28" t="n">
        <v>0.1659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George Pickens</t>
        </is>
      </c>
      <c r="C24" s="22" t="n">
        <v>2</v>
      </c>
      <c r="D24" s="22" t="inlineStr">
        <is>
          <t>25</t>
        </is>
      </c>
      <c r="E24" s="23" t="inlineStr">
        <is>
          <t>ACT</t>
        </is>
      </c>
      <c r="F24" s="24" t="inlineStr">
        <is>
          <t>DAL</t>
        </is>
      </c>
      <c r="G24" s="24" t="inlineStr">
        <is>
          <t>17</t>
        </is>
      </c>
      <c r="H24" s="25" t="n">
        <v>0.82</v>
      </c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>
        <v>0.2239</v>
      </c>
      <c r="R24" s="25" t="n">
        <v>0.2257</v>
      </c>
      <c r="S24" s="25" t="n">
        <v>0.633</v>
      </c>
      <c r="T24" s="26" t="n">
        <v>15.91</v>
      </c>
      <c r="U24" s="25" t="n">
        <v>0.2143</v>
      </c>
      <c r="V24" s="25" t="n">
        <v>0.2903</v>
      </c>
      <c r="W24" s="27" t="n">
        <v>17</v>
      </c>
      <c r="X24" s="28" t="n"/>
      <c r="Y24" s="28" t="n"/>
      <c r="Z24" s="28" t="n"/>
      <c r="AA24" s="28" t="n">
        <v>0.008800000000000001</v>
      </c>
      <c r="AB24" s="29" t="n">
        <v>2.4</v>
      </c>
      <c r="AC24" s="28" t="n"/>
      <c r="AD24" s="28" t="n">
        <v>0.1805</v>
      </c>
      <c r="AE24" s="28" t="n">
        <v>0.6333</v>
      </c>
      <c r="AF24" s="29" t="n">
        <v>16.13</v>
      </c>
      <c r="AG24" s="28" t="n">
        <v>0.2252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Ryan Flournoy</t>
        </is>
      </c>
      <c r="C25" s="35" t="n">
        <v>3</v>
      </c>
      <c r="D25" s="35" t="inlineStr">
        <is>
          <t>26</t>
        </is>
      </c>
      <c r="E25" s="42" t="inlineStr">
        <is>
          <t>ACT</t>
        </is>
      </c>
      <c r="F25" s="24" t="inlineStr">
        <is>
          <t>DAL</t>
        </is>
      </c>
      <c r="G25" s="24" t="inlineStr">
        <is>
          <t>16</t>
        </is>
      </c>
      <c r="H25" s="25" t="n">
        <v>0.373</v>
      </c>
      <c r="I25" s="25" t="n"/>
      <c r="J25" s="25" t="n"/>
      <c r="K25" s="26" t="n"/>
      <c r="L25" s="25" t="n"/>
      <c r="M25" s="25" t="n">
        <v>0.0089</v>
      </c>
      <c r="N25" s="26" t="n"/>
      <c r="O25" s="25" t="n"/>
      <c r="P25" s="25" t="n"/>
      <c r="Q25" s="25" t="n">
        <v>0.0225</v>
      </c>
      <c r="R25" s="25" t="n">
        <v>0.09229999999999999</v>
      </c>
      <c r="S25" s="25" t="n">
        <v>0.714</v>
      </c>
      <c r="T25" s="26" t="n">
        <v>11.88</v>
      </c>
      <c r="U25" s="25" t="n">
        <v>0.07140000000000001</v>
      </c>
      <c r="V25" s="25" t="n">
        <v>0.129</v>
      </c>
      <c r="W25" s="27" t="n">
        <v>17</v>
      </c>
      <c r="X25" s="28" t="n"/>
      <c r="Y25" s="28" t="n"/>
      <c r="Z25" s="28" t="n"/>
      <c r="AA25" s="28" t="n">
        <v>0.0066</v>
      </c>
      <c r="AB25" s="29" t="n">
        <v>6.25</v>
      </c>
      <c r="AC25" s="28" t="n"/>
      <c r="AD25" s="28" t="n">
        <v>0.07480000000000001</v>
      </c>
      <c r="AE25" s="28" t="n">
        <v>0.7143</v>
      </c>
      <c r="AF25" s="29" t="n">
        <v>11.54</v>
      </c>
      <c r="AG25" s="28" t="n">
        <v>0.1069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KaVontae Turpin</t>
        </is>
      </c>
      <c r="C26" s="22" t="n">
        <v>4</v>
      </c>
      <c r="D26" s="22" t="inlineStr">
        <is>
          <t>30</t>
        </is>
      </c>
      <c r="E26" s="23" t="inlineStr">
        <is>
          <t>ACT</t>
        </is>
      </c>
      <c r="F26" s="24" t="inlineStr">
        <is>
          <t>DAL</t>
        </is>
      </c>
      <c r="G26" s="24" t="inlineStr">
        <is>
          <t>15</t>
        </is>
      </c>
      <c r="H26" s="25" t="n">
        <v>0.282</v>
      </c>
      <c r="I26" s="25" t="n"/>
      <c r="J26" s="25" t="n"/>
      <c r="K26" s="26" t="n"/>
      <c r="L26" s="25" t="n"/>
      <c r="M26" s="25" t="n">
        <v>0.0379</v>
      </c>
      <c r="N26" s="26" t="n"/>
      <c r="O26" s="25" t="n"/>
      <c r="P26" s="25" t="n"/>
      <c r="Q26" s="25" t="n">
        <v>0.08359999999999999</v>
      </c>
      <c r="R26" s="25" t="n">
        <v>0.0626</v>
      </c>
      <c r="S26" s="25" t="n">
        <v>0.652</v>
      </c>
      <c r="T26" s="26" t="n">
        <v>13.75</v>
      </c>
      <c r="U26" s="25" t="n">
        <v>0.051</v>
      </c>
      <c r="V26" s="25" t="n">
        <v>0.0645</v>
      </c>
      <c r="W26" s="27" t="n">
        <v>17</v>
      </c>
      <c r="X26" s="28" t="n"/>
      <c r="Y26" s="28" t="n"/>
      <c r="Z26" s="28" t="n"/>
      <c r="AA26" s="28" t="n">
        <v>0.0072</v>
      </c>
      <c r="AB26" s="29" t="n">
        <v>6.61</v>
      </c>
      <c r="AC26" s="28" t="n">
        <v>0.0479</v>
      </c>
      <c r="AD26" s="28" t="n">
        <v>0.0571</v>
      </c>
      <c r="AE26" s="28" t="n">
        <v>0.6522</v>
      </c>
      <c r="AF26" s="29" t="n">
        <v>13.67</v>
      </c>
      <c r="AG26" s="28" t="n">
        <v>0.0626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Jonathan Mingo</t>
        </is>
      </c>
      <c r="C27" s="35" t="n">
        <v>5</v>
      </c>
      <c r="D27" s="35" t="inlineStr">
        <is>
          <t>25</t>
        </is>
      </c>
      <c r="E27" s="42" t="inlineStr">
        <is>
          <t>ACT</t>
        </is>
      </c>
      <c r="F27" s="24" t="inlineStr">
        <is>
          <t>DAL</t>
        </is>
      </c>
      <c r="G27" s="24" t="inlineStr">
        <is>
          <t>6</t>
        </is>
      </c>
      <c r="H27" s="25" t="n">
        <v>0.41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>
        <v>0.0257</v>
      </c>
      <c r="R27" s="25" t="n">
        <v>0.008200000000000001</v>
      </c>
      <c r="S27" s="25" t="n">
        <v>0.42</v>
      </c>
      <c r="T27" s="26" t="n">
        <v>9.720000000000001</v>
      </c>
      <c r="U27" s="25" t="n"/>
      <c r="V27" s="25" t="n"/>
      <c r="W27" s="27" t="n">
        <v>17</v>
      </c>
      <c r="X27" s="28" t="n"/>
      <c r="Y27" s="28" t="n"/>
      <c r="Z27" s="28" t="n"/>
      <c r="AA27" s="28" t="n">
        <v>0.0008</v>
      </c>
      <c r="AB27" s="29" t="n"/>
      <c r="AC27" s="28" t="n"/>
      <c r="AD27" s="28" t="n">
        <v>0.0427</v>
      </c>
      <c r="AE27" s="28" t="n">
        <v>0.3414</v>
      </c>
      <c r="AF27" s="29" t="n">
        <v>9.98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Mitch Van Vooren</t>
        </is>
      </c>
      <c r="C28" s="22" t="n">
        <v>6</v>
      </c>
      <c r="D28" s="22" t="inlineStr"/>
      <c r="E28" s="23" t="inlineStr">
        <is>
          <t>ACT</t>
        </is>
      </c>
      <c r="F28" s="24" t="inlineStr"/>
      <c r="G28" s="24" t="inlineStr"/>
      <c r="H28" s="25" t="n"/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/>
      <c r="R28" s="25" t="n"/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0.0021</v>
      </c>
      <c r="AB28" s="29" t="n"/>
      <c r="AC28" s="28" t="n"/>
      <c r="AD28" s="28" t="n">
        <v>0.0129</v>
      </c>
      <c r="AE28" s="28" t="n">
        <v>0.65</v>
      </c>
      <c r="AF28" s="29" t="n">
        <v>12.84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Anthony Smith</t>
        </is>
      </c>
      <c r="C29" s="35" t="n">
        <v>7</v>
      </c>
      <c r="D29" s="35" t="inlineStr">
        <is>
          <t>24</t>
        </is>
      </c>
      <c r="E29" s="42" t="inlineStr">
        <is>
          <t>ACT</t>
        </is>
      </c>
      <c r="F29" s="24" t="inlineStr"/>
      <c r="G29" s="24" t="inlineStr"/>
      <c r="H29" s="25" t="n"/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/>
      <c r="R29" s="25" t="n"/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0.0024</v>
      </c>
      <c r="AB29" s="29" t="n"/>
      <c r="AC29" s="28" t="n"/>
      <c r="AD29" s="28" t="n">
        <v>0.0138</v>
      </c>
      <c r="AE29" s="28" t="n">
        <v>0.65</v>
      </c>
      <c r="AF29" s="29" t="n">
        <v>12.84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Tyler Johnson</t>
        </is>
      </c>
      <c r="C30" s="22" t="n">
        <v>8</v>
      </c>
      <c r="D30" s="22" t="inlineStr">
        <is>
          <t>28</t>
        </is>
      </c>
      <c r="E30" s="23" t="inlineStr">
        <is>
          <t>ACT</t>
        </is>
      </c>
      <c r="F30" s="24" t="inlineStr">
        <is>
          <t>NYJ</t>
        </is>
      </c>
      <c r="G30" s="24" t="inlineStr">
        <is>
          <t>12</t>
        </is>
      </c>
      <c r="H30" s="25" t="n">
        <v>0.426</v>
      </c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>
        <v>0.07580000000000001</v>
      </c>
      <c r="R30" s="25" t="n">
        <v>0.0381</v>
      </c>
      <c r="S30" s="25" t="n">
        <v>0.653</v>
      </c>
      <c r="T30" s="26" t="n">
        <v>14.18</v>
      </c>
      <c r="U30" s="25" t="n">
        <v>0.0213</v>
      </c>
      <c r="V30" s="25" t="n">
        <v>0.0667</v>
      </c>
      <c r="W30" s="27" t="n">
        <v>17</v>
      </c>
      <c r="X30" s="28" t="n"/>
      <c r="Y30" s="28" t="n"/>
      <c r="Z30" s="28" t="n"/>
      <c r="AA30" s="28" t="n">
        <v>0.0023</v>
      </c>
      <c r="AB30" s="29" t="n"/>
      <c r="AC30" s="28" t="n"/>
      <c r="AD30" s="28" t="n">
        <v>0.0135</v>
      </c>
      <c r="AE30" s="28" t="n">
        <v>0.653</v>
      </c>
      <c r="AF30" s="29" t="n">
        <v>12.4</v>
      </c>
      <c r="AG30" s="28" t="n">
        <v>0.0474</v>
      </c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Jake Ferguson</t>
        </is>
      </c>
      <c r="C32" s="22" t="n">
        <v>1</v>
      </c>
      <c r="D32" s="22" t="inlineStr">
        <is>
          <t>27</t>
        </is>
      </c>
      <c r="E32" s="23" t="inlineStr">
        <is>
          <t>ACT</t>
        </is>
      </c>
      <c r="F32" s="24" t="inlineStr">
        <is>
          <t>DAL</t>
        </is>
      </c>
      <c r="G32" s="24" t="inlineStr">
        <is>
          <t>17</t>
        </is>
      </c>
      <c r="H32" s="25" t="n">
        <v>0.679</v>
      </c>
      <c r="I32" s="25" t="n"/>
      <c r="J32" s="25" t="n"/>
      <c r="K32" s="26" t="n"/>
      <c r="L32" s="25" t="n"/>
      <c r="M32" s="25" t="n">
        <v>0.0022</v>
      </c>
      <c r="N32" s="26" t="n"/>
      <c r="O32" s="25" t="n"/>
      <c r="P32" s="25" t="n"/>
      <c r="Q32" s="25" t="n">
        <v>0.1383</v>
      </c>
      <c r="R32" s="25" t="n">
        <v>0.168</v>
      </c>
      <c r="S32" s="25" t="n">
        <v>0.75</v>
      </c>
      <c r="T32" s="26" t="n">
        <v>8.31</v>
      </c>
      <c r="U32" s="25" t="n">
        <v>0.2347</v>
      </c>
      <c r="V32" s="25" t="n">
        <v>0.2581</v>
      </c>
      <c r="W32" s="27" t="n">
        <v>17</v>
      </c>
      <c r="X32" s="28" t="n"/>
      <c r="Y32" s="28" t="n"/>
      <c r="Z32" s="28" t="n"/>
      <c r="AA32" s="28" t="n">
        <v>0.0023</v>
      </c>
      <c r="AB32" s="29" t="n"/>
      <c r="AC32" s="28" t="n"/>
      <c r="AD32" s="28" t="n">
        <v>0.1472</v>
      </c>
      <c r="AE32" s="28" t="n">
        <v>0.7504</v>
      </c>
      <c r="AF32" s="29" t="n">
        <v>8.75</v>
      </c>
      <c r="AG32" s="28" t="n">
        <v>0.1856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Luke Schoonmaker</t>
        </is>
      </c>
      <c r="C33" s="35" t="n">
        <v>2</v>
      </c>
      <c r="D33" s="35" t="inlineStr">
        <is>
          <t>27</t>
        </is>
      </c>
      <c r="E33" s="42" t="inlineStr">
        <is>
          <t>ACT</t>
        </is>
      </c>
      <c r="F33" s="24" t="inlineStr">
        <is>
          <t>DAL</t>
        </is>
      </c>
      <c r="G33" s="24" t="inlineStr">
        <is>
          <t>17</t>
        </is>
      </c>
      <c r="H33" s="25" t="n">
        <v>0.331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0.0579</v>
      </c>
      <c r="R33" s="25" t="n">
        <v>0.0379</v>
      </c>
      <c r="S33" s="25" t="n">
        <v>0.636</v>
      </c>
      <c r="T33" s="26" t="n">
        <v>9.24</v>
      </c>
      <c r="U33" s="25" t="n">
        <v>0.0204</v>
      </c>
      <c r="V33" s="25" t="n"/>
      <c r="W33" s="27" t="n">
        <v>17</v>
      </c>
      <c r="X33" s="28" t="n"/>
      <c r="Y33" s="28" t="n"/>
      <c r="Z33" s="28" t="n"/>
      <c r="AA33" s="28" t="n">
        <v>0.0009</v>
      </c>
      <c r="AB33" s="29" t="n"/>
      <c r="AC33" s="28" t="n"/>
      <c r="AD33" s="28" t="n">
        <v>0.0301</v>
      </c>
      <c r="AE33" s="28" t="n">
        <v>0.636</v>
      </c>
      <c r="AF33" s="29" t="n">
        <v>8.94</v>
      </c>
      <c r="AG33" s="28" t="n">
        <v>0.04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Brevyn Spann-Ford</t>
        </is>
      </c>
      <c r="C34" s="22" t="n">
        <v>3</v>
      </c>
      <c r="D34" s="22" t="inlineStr">
        <is>
          <t>26</t>
        </is>
      </c>
      <c r="E34" s="23" t="inlineStr">
        <is>
          <t>ACT</t>
        </is>
      </c>
      <c r="F34" s="24" t="inlineStr">
        <is>
          <t>DAL</t>
        </is>
      </c>
      <c r="G34" s="24" t="inlineStr">
        <is>
          <t>17</t>
        </is>
      </c>
      <c r="H34" s="25" t="n">
        <v>0.251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0.0225</v>
      </c>
      <c r="R34" s="25" t="n">
        <v>0.0214</v>
      </c>
      <c r="S34" s="25" t="n"/>
      <c r="T34" s="26" t="n"/>
      <c r="U34" s="25" t="n">
        <v>0.0204</v>
      </c>
      <c r="V34" s="25" t="n">
        <v>0.0323</v>
      </c>
      <c r="W34" s="27" t="n">
        <v>17</v>
      </c>
      <c r="X34" s="28" t="n"/>
      <c r="Y34" s="28" t="n"/>
      <c r="Z34" s="28" t="n"/>
      <c r="AA34" s="28" t="n">
        <v>0.0009</v>
      </c>
      <c r="AB34" s="29" t="n"/>
      <c r="AC34" s="28" t="n"/>
      <c r="AD34" s="28" t="n">
        <v>0.0195</v>
      </c>
      <c r="AE34" s="28" t="n">
        <v>0.6738</v>
      </c>
      <c r="AF34" s="29" t="n">
        <v>10.32</v>
      </c>
      <c r="AG34" s="28" t="n">
        <v>0.0284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Zack Kuntz</t>
        </is>
      </c>
      <c r="C35" s="35" t="n">
        <v>4</v>
      </c>
      <c r="D35" s="35" t="inlineStr">
        <is>
          <t>27</t>
        </is>
      </c>
      <c r="E35" s="42" t="inlineStr">
        <is>
          <t>ACT</t>
        </is>
      </c>
      <c r="F35" s="24" t="inlineStr"/>
      <c r="G35" s="24" t="inlineStr"/>
      <c r="H35" s="25" t="n">
        <v>0.024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0.0023</v>
      </c>
      <c r="AB35" s="29" t="n"/>
      <c r="AC35" s="28" t="n"/>
      <c r="AD35" s="28" t="n">
        <v>0.0174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DEN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1060</v>
      </c>
      <c r="D4" s="10">
        <f>$C$4/$B$4</f>
        <v/>
      </c>
      <c r="E4" s="11" t="n">
        <v>0.5696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1092</v>
      </c>
      <c r="M4" s="14" t="n">
        <v>64.2353</v>
      </c>
      <c r="N4" s="15" t="n">
        <v>0.5824</v>
      </c>
      <c r="O4" s="13" t="n">
        <v>613</v>
      </c>
      <c r="P4" s="13" t="n">
        <v>456</v>
      </c>
      <c r="Q4" s="16" t="n">
        <v>6.4127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39.5</v>
      </c>
      <c r="C7" s="11" t="n">
        <v>0.3571</v>
      </c>
      <c r="D7" s="10">
        <f>$B$7*$C$7</f>
        <v/>
      </c>
      <c r="E7" s="10">
        <f>$B$7-$D$7</f>
        <v/>
      </c>
      <c r="F7" s="12" t="n">
        <v>3848</v>
      </c>
      <c r="G7" s="12" t="n">
        <v>1954</v>
      </c>
      <c r="H7" s="12">
        <f>$F$7</f>
        <v/>
      </c>
      <c r="L7" s="13" t="n">
        <v>3931</v>
      </c>
      <c r="M7" s="13" t="n">
        <v>2018</v>
      </c>
      <c r="N7" s="14" t="n">
        <v>25</v>
      </c>
      <c r="O7" s="14" t="n">
        <v>18</v>
      </c>
      <c r="P7" s="14" t="n">
        <v>43</v>
      </c>
      <c r="Q7" s="15" t="n">
        <v>0.4186046511627907</v>
      </c>
    </row>
    <row r="8"/>
    <row r="9">
      <c r="A9" s="5" t="inlineStr">
        <is>
          <t>NOTES</t>
        </is>
      </c>
      <c r="B9" s="18" t="inlineStr">
        <is>
          <t>0% of targets and 0% of carries left this roster.  HC unchanged. OC Davis Webb under Sean Payton. Same offense with little tweaks; emphasis on the quick passing game.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Bo Nix</t>
        </is>
      </c>
      <c r="C12" s="22" t="n">
        <v>1</v>
      </c>
      <c r="D12" s="22" t="inlineStr">
        <is>
          <t>26</t>
        </is>
      </c>
      <c r="E12" s="23" t="inlineStr">
        <is>
          <t>ACT</t>
        </is>
      </c>
      <c r="F12" s="24" t="inlineStr">
        <is>
          <t>DEN</t>
        </is>
      </c>
      <c r="G12" s="24" t="inlineStr">
        <is>
          <t>17</t>
        </is>
      </c>
      <c r="H12" s="25" t="n">
        <v>0.993</v>
      </c>
      <c r="I12" s="25" t="n">
        <v>0.9984</v>
      </c>
      <c r="J12" s="25" t="n">
        <v>0.645</v>
      </c>
      <c r="K12" s="26" t="n">
        <v>6.51</v>
      </c>
      <c r="L12" s="25" t="n">
        <v>0.019</v>
      </c>
      <c r="M12" s="25" t="n">
        <v>0.1507</v>
      </c>
      <c r="N12" s="26" t="n">
        <v>5.44</v>
      </c>
      <c r="O12" s="25" t="n">
        <v>0.2222</v>
      </c>
      <c r="P12" s="25" t="n">
        <v>0.2778</v>
      </c>
      <c r="Q12" s="25" t="n">
        <v>0.0018</v>
      </c>
      <c r="R12" s="25" t="n">
        <v>0.0017</v>
      </c>
      <c r="S12" s="25" t="n"/>
      <c r="T12" s="26" t="n"/>
      <c r="U12" s="25" t="n">
        <v>0.013</v>
      </c>
      <c r="V12" s="25" t="n"/>
      <c r="W12" s="27" t="n">
        <v>17</v>
      </c>
      <c r="X12" s="28" t="n">
        <v>0.8206</v>
      </c>
      <c r="Y12" s="28" t="n">
        <v>0.645</v>
      </c>
      <c r="Z12" s="28" t="n">
        <v>0.019</v>
      </c>
      <c r="AA12" s="28" t="n">
        <v>0.1361</v>
      </c>
      <c r="AB12" s="29" t="n">
        <v>5.46</v>
      </c>
      <c r="AC12" s="28" t="n">
        <v>0.2533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Jarrett Stidham</t>
        </is>
      </c>
      <c r="C13" s="35" t="n">
        <v>2</v>
      </c>
      <c r="D13" s="35" t="inlineStr">
        <is>
          <t>30</t>
        </is>
      </c>
      <c r="E13" s="42" t="inlineStr">
        <is>
          <t>ACT</t>
        </is>
      </c>
      <c r="F13" s="24" t="inlineStr"/>
      <c r="G13" s="24" t="inlineStr"/>
      <c r="H13" s="25" t="n">
        <v>0.187</v>
      </c>
      <c r="I13" s="25" t="n"/>
      <c r="J13" s="25" t="n">
        <v>0.606</v>
      </c>
      <c r="K13" s="26" t="n">
        <v>7.52</v>
      </c>
      <c r="L13" s="25" t="n">
        <v>0.015</v>
      </c>
      <c r="M13" s="25" t="n"/>
      <c r="N13" s="26" t="n"/>
      <c r="O13" s="25" t="n"/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0.1059</v>
      </c>
      <c r="Y13" s="28" t="n">
        <v>0.606</v>
      </c>
      <c r="Z13" s="28" t="n">
        <v>0.015</v>
      </c>
      <c r="AA13" s="28" t="n">
        <v>0.0086</v>
      </c>
      <c r="AB13" s="29" t="n">
        <v>4.5</v>
      </c>
      <c r="AC13" s="28" t="n"/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Sam Ehlinger</t>
        </is>
      </c>
      <c r="C14" s="22" t="n">
        <v>3</v>
      </c>
      <c r="D14" s="22" t="inlineStr">
        <is>
          <t>27</t>
        </is>
      </c>
      <c r="E14" s="23" t="inlineStr">
        <is>
          <t>ACT</t>
        </is>
      </c>
      <c r="F14" s="24" t="inlineStr"/>
      <c r="G14" s="24" t="inlineStr"/>
      <c r="H14" s="25" t="n">
        <v>0.05</v>
      </c>
      <c r="I14" s="25" t="n"/>
      <c r="J14" s="25" t="n"/>
      <c r="K14" s="26" t="n"/>
      <c r="L14" s="25" t="n"/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0.0598</v>
      </c>
      <c r="Y14" s="28" t="n">
        <v>0.65</v>
      </c>
      <c r="Z14" s="28" t="n">
        <v>0.022</v>
      </c>
      <c r="AA14" s="28" t="n">
        <v>0.009299999999999999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J.K. Dobbins</t>
        </is>
      </c>
      <c r="C16" s="22" t="n">
        <v>1</v>
      </c>
      <c r="D16" s="22" t="inlineStr">
        <is>
          <t>27</t>
        </is>
      </c>
      <c r="E16" s="23" t="inlineStr">
        <is>
          <t>ACT</t>
        </is>
      </c>
      <c r="F16" s="24" t="inlineStr">
        <is>
          <t>DEN</t>
        </is>
      </c>
      <c r="G16" s="24" t="inlineStr">
        <is>
          <t>10</t>
        </is>
      </c>
      <c r="H16" s="25" t="n">
        <v>0.54</v>
      </c>
      <c r="I16" s="25" t="n"/>
      <c r="J16" s="25" t="n"/>
      <c r="K16" s="26" t="n"/>
      <c r="L16" s="25" t="n"/>
      <c r="M16" s="25" t="n">
        <v>0.3493</v>
      </c>
      <c r="N16" s="26" t="n">
        <v>4.87</v>
      </c>
      <c r="O16" s="25" t="n">
        <v>0.2639</v>
      </c>
      <c r="P16" s="25" t="n">
        <v>0.2222</v>
      </c>
      <c r="Q16" s="25" t="n">
        <v>0.0774</v>
      </c>
      <c r="R16" s="25" t="n">
        <v>0.024</v>
      </c>
      <c r="S16" s="25" t="n">
        <v>0.842</v>
      </c>
      <c r="T16" s="26" t="n">
        <v>4.78</v>
      </c>
      <c r="U16" s="25" t="n"/>
      <c r="V16" s="25" t="n"/>
      <c r="W16" s="27" t="n">
        <v>17</v>
      </c>
      <c r="X16" s="28" t="n"/>
      <c r="Y16" s="28" t="n"/>
      <c r="Z16" s="28" t="n"/>
      <c r="AA16" s="28" t="n">
        <v>0.3804</v>
      </c>
      <c r="AB16" s="29" t="n">
        <v>4.77</v>
      </c>
      <c r="AC16" s="28" t="n">
        <v>0.2968</v>
      </c>
      <c r="AD16" s="28" t="n">
        <v>0.063</v>
      </c>
      <c r="AE16" s="28" t="n">
        <v>0.8073</v>
      </c>
      <c r="AF16" s="29" t="n">
        <v>4.56</v>
      </c>
      <c r="AG16" s="28" t="n"/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RJ Harvey</t>
        </is>
      </c>
      <c r="C17" s="35" t="n">
        <v>2</v>
      </c>
      <c r="D17" s="35" t="inlineStr">
        <is>
          <t>25</t>
        </is>
      </c>
      <c r="E17" s="42" t="inlineStr">
        <is>
          <t>ACT</t>
        </is>
      </c>
      <c r="F17" s="24" t="inlineStr">
        <is>
          <t>DEN</t>
        </is>
      </c>
      <c r="G17" s="24" t="inlineStr">
        <is>
          <t>17</t>
        </is>
      </c>
      <c r="H17" s="25" t="n">
        <v>0.421</v>
      </c>
      <c r="I17" s="25" t="n">
        <v>0.0016</v>
      </c>
      <c r="J17" s="25" t="n"/>
      <c r="K17" s="26" t="n"/>
      <c r="L17" s="25" t="n"/>
      <c r="M17" s="25" t="n">
        <v>0.3333</v>
      </c>
      <c r="N17" s="26" t="n">
        <v>3.7</v>
      </c>
      <c r="O17" s="25" t="n">
        <v>0.3611</v>
      </c>
      <c r="P17" s="25" t="n">
        <v>0.3889</v>
      </c>
      <c r="Q17" s="25" t="n"/>
      <c r="R17" s="25" t="n">
        <v>0.0993</v>
      </c>
      <c r="S17" s="25" t="n">
        <v>0.8100000000000001</v>
      </c>
      <c r="T17" s="26" t="n">
        <v>7.57</v>
      </c>
      <c r="U17" s="25" t="n">
        <v>0.1299</v>
      </c>
      <c r="V17" s="25" t="n">
        <v>0.2</v>
      </c>
      <c r="W17" s="27" t="n">
        <v>17</v>
      </c>
      <c r="X17" s="28" t="n"/>
      <c r="Y17" s="28" t="n"/>
      <c r="Z17" s="28" t="n"/>
      <c r="AA17" s="28" t="n">
        <v>0.275</v>
      </c>
      <c r="AB17" s="29" t="n">
        <v>3.7</v>
      </c>
      <c r="AC17" s="28" t="n">
        <v>0.3299</v>
      </c>
      <c r="AD17" s="28" t="n">
        <v>0.0743</v>
      </c>
      <c r="AE17" s="28" t="n">
        <v>0.8103</v>
      </c>
      <c r="AF17" s="29" t="n">
        <v>7.57</v>
      </c>
      <c r="AG17" s="28" t="n">
        <v>0.1428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Jonah Coleman</t>
        </is>
      </c>
      <c r="C18" s="22" t="n">
        <v>3</v>
      </c>
      <c r="D18" s="22" t="inlineStr">
        <is>
          <t>23</t>
        </is>
      </c>
      <c r="E18" s="23" t="inlineStr">
        <is>
          <t>ACT</t>
        </is>
      </c>
      <c r="F18" s="24" t="inlineStr"/>
      <c r="G18" s="24" t="inlineStr"/>
      <c r="H18" s="25" t="n"/>
      <c r="I18" s="25" t="n"/>
      <c r="J18" s="25" t="n"/>
      <c r="K18" s="26" t="n"/>
      <c r="L18" s="25" t="n"/>
      <c r="M18" s="25" t="n"/>
      <c r="N18" s="26" t="n"/>
      <c r="O18" s="25" t="n"/>
      <c r="P18" s="25" t="n"/>
      <c r="Q18" s="25" t="n"/>
      <c r="R18" s="25" t="n"/>
      <c r="S18" s="25" t="n"/>
      <c r="T18" s="26" t="n"/>
      <c r="U18" s="25" t="n"/>
      <c r="V18" s="25" t="n"/>
      <c r="W18" s="27" t="n">
        <v>17</v>
      </c>
      <c r="X18" s="28" t="n"/>
      <c r="Y18" s="28" t="n"/>
      <c r="Z18" s="28" t="n"/>
      <c r="AA18" s="28" t="n">
        <v>0.092</v>
      </c>
      <c r="AB18" s="29" t="n">
        <v>4.13</v>
      </c>
      <c r="AC18" s="28" t="n"/>
      <c r="AD18" s="28" t="n">
        <v>0.0257</v>
      </c>
      <c r="AE18" s="28" t="n">
        <v>0.75</v>
      </c>
      <c r="AF18" s="29" t="n">
        <v>7.13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Tyler Badie</t>
        </is>
      </c>
      <c r="C19" s="35" t="n">
        <v>4</v>
      </c>
      <c r="D19" s="35" t="inlineStr">
        <is>
          <t>26</t>
        </is>
      </c>
      <c r="E19" s="42" t="inlineStr">
        <is>
          <t>ACT</t>
        </is>
      </c>
      <c r="F19" s="24" t="inlineStr">
        <is>
          <t>DEN</t>
        </is>
      </c>
      <c r="G19" s="24" t="inlineStr">
        <is>
          <t>16</t>
        </is>
      </c>
      <c r="H19" s="25" t="n">
        <v>0.149</v>
      </c>
      <c r="I19" s="25" t="n"/>
      <c r="J19" s="25" t="n"/>
      <c r="K19" s="26" t="n"/>
      <c r="L19" s="25" t="n"/>
      <c r="M19" s="25" t="n">
        <v>0.0183</v>
      </c>
      <c r="N19" s="26" t="n"/>
      <c r="O19" s="25" t="n">
        <v>0.0278</v>
      </c>
      <c r="P19" s="25" t="n"/>
      <c r="Q19" s="25" t="n">
        <v>0.0055</v>
      </c>
      <c r="R19" s="25" t="n">
        <v>0.0531</v>
      </c>
      <c r="S19" s="25" t="n">
        <v>0.613</v>
      </c>
      <c r="T19" s="26" t="n">
        <v>7.42</v>
      </c>
      <c r="U19" s="25" t="n">
        <v>0.039</v>
      </c>
      <c r="V19" s="25" t="n"/>
      <c r="W19" s="27" t="n">
        <v>17</v>
      </c>
      <c r="X19" s="28" t="n"/>
      <c r="Y19" s="28" t="n"/>
      <c r="Z19" s="28" t="n"/>
      <c r="AA19" s="28" t="n">
        <v>0.0193</v>
      </c>
      <c r="AB19" s="29" t="n">
        <v>5.74</v>
      </c>
      <c r="AC19" s="28" t="n"/>
      <c r="AD19" s="28" t="n">
        <v>0.029</v>
      </c>
      <c r="AE19" s="28" t="n">
        <v>0.652</v>
      </c>
      <c r="AF19" s="29" t="n">
        <v>6.32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Cody Schrader</t>
        </is>
      </c>
      <c r="C20" s="22" t="n">
        <v>5</v>
      </c>
      <c r="D20" s="22" t="inlineStr">
        <is>
          <t>26</t>
        </is>
      </c>
      <c r="E20" s="23" t="inlineStr">
        <is>
          <t>ACT</t>
        </is>
      </c>
      <c r="F20" s="24" t="inlineStr"/>
      <c r="G20" s="24" t="inlineStr"/>
      <c r="H20" s="25" t="n">
        <v>0.03</v>
      </c>
      <c r="I20" s="25" t="n"/>
      <c r="J20" s="25" t="n"/>
      <c r="K20" s="26" t="n"/>
      <c r="L20" s="25" t="n"/>
      <c r="M20" s="25" t="n"/>
      <c r="N20" s="26" t="n"/>
      <c r="O20" s="25" t="n"/>
      <c r="P20" s="25" t="n"/>
      <c r="Q20" s="25" t="n">
        <v>0.0018</v>
      </c>
      <c r="R20" s="25" t="n"/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0.0038</v>
      </c>
      <c r="AB20" s="29" t="n">
        <v>3</v>
      </c>
      <c r="AC20" s="28" t="n"/>
      <c r="AD20" s="28" t="n">
        <v>0.0022</v>
      </c>
      <c r="AE20" s="28" t="n">
        <v>1</v>
      </c>
      <c r="AF20" s="29" t="n">
        <v>6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inlineStr">
        <is>
          <t>Jaleel McLaughlin</t>
        </is>
      </c>
      <c r="C21" s="35" t="n">
        <v>6</v>
      </c>
      <c r="D21" s="35" t="inlineStr">
        <is>
          <t>25</t>
        </is>
      </c>
      <c r="E21" s="42" t="inlineStr">
        <is>
          <t>ACT</t>
        </is>
      </c>
      <c r="F21" s="24" t="inlineStr">
        <is>
          <t>DEN</t>
        </is>
      </c>
      <c r="G21" s="24" t="inlineStr">
        <is>
          <t>8</t>
        </is>
      </c>
      <c r="H21" s="25" t="n">
        <v>0.202</v>
      </c>
      <c r="I21" s="25" t="n"/>
      <c r="J21" s="25" t="n"/>
      <c r="K21" s="26" t="n"/>
      <c r="L21" s="25" t="n"/>
      <c r="M21" s="25" t="n">
        <v>0.08450000000000001</v>
      </c>
      <c r="N21" s="26" t="n">
        <v>4.89</v>
      </c>
      <c r="O21" s="25" t="n">
        <v>0.0694</v>
      </c>
      <c r="P21" s="25" t="n">
        <v>0.0556</v>
      </c>
      <c r="Q21" s="25" t="n">
        <v>0.0492</v>
      </c>
      <c r="R21" s="25" t="n">
        <v>0.0103</v>
      </c>
      <c r="S21" s="25" t="n">
        <v>0.877</v>
      </c>
      <c r="T21" s="26" t="n">
        <v>3.99</v>
      </c>
      <c r="U21" s="25" t="n"/>
      <c r="V21" s="25" t="n"/>
      <c r="W21" s="27" t="n">
        <v>17</v>
      </c>
      <c r="X21" s="28" t="n"/>
      <c r="Y21" s="28" t="n"/>
      <c r="Z21" s="28" t="n"/>
      <c r="AA21" s="28" t="n">
        <v>0.0377</v>
      </c>
      <c r="AB21" s="29" t="n">
        <v>4.84</v>
      </c>
      <c r="AC21" s="28" t="n">
        <v>0.0728</v>
      </c>
      <c r="AD21" s="28" t="n">
        <v>0.0257</v>
      </c>
      <c r="AE21" s="28" t="n">
        <v>0.8083</v>
      </c>
      <c r="AF21" s="29" t="n">
        <v>4.46</v>
      </c>
      <c r="AG21" s="28" t="n">
        <v>0.049</v>
      </c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Jaylen Waddle</t>
        </is>
      </c>
      <c r="C23" s="35" t="n">
        <v>1</v>
      </c>
      <c r="D23" s="35" t="inlineStr">
        <is>
          <t>27</t>
        </is>
      </c>
      <c r="E23" s="42" t="inlineStr">
        <is>
          <t>ACT</t>
        </is>
      </c>
      <c r="F23" s="24" t="inlineStr">
        <is>
          <t>MIA</t>
        </is>
      </c>
      <c r="G23" s="24" t="inlineStr">
        <is>
          <t>16</t>
        </is>
      </c>
      <c r="H23" s="25" t="n">
        <v>0.758</v>
      </c>
      <c r="I23" s="25" t="n">
        <v>0.0021</v>
      </c>
      <c r="J23" s="25" t="n"/>
      <c r="K23" s="26" t="n"/>
      <c r="L23" s="25" t="n"/>
      <c r="M23" s="25" t="n">
        <v>0.0047</v>
      </c>
      <c r="N23" s="26" t="n"/>
      <c r="O23" s="25" t="n"/>
      <c r="P23" s="25" t="n"/>
      <c r="Q23" s="25" t="n">
        <v>0.1461</v>
      </c>
      <c r="R23" s="25" t="n">
        <v>0.2165</v>
      </c>
      <c r="S23" s="25" t="n">
        <v>0.667</v>
      </c>
      <c r="T23" s="26" t="n">
        <v>13.78</v>
      </c>
      <c r="U23" s="25" t="n">
        <v>0.1833</v>
      </c>
      <c r="V23" s="25" t="n">
        <v>0.2609</v>
      </c>
      <c r="W23" s="27" t="n">
        <v>17</v>
      </c>
      <c r="X23" s="28" t="n"/>
      <c r="Y23" s="28" t="n"/>
      <c r="Z23" s="28" t="n"/>
      <c r="AA23" s="28" t="n">
        <v>0.007</v>
      </c>
      <c r="AB23" s="29" t="n">
        <v>5.78</v>
      </c>
      <c r="AC23" s="28" t="n"/>
      <c r="AD23" s="28" t="n">
        <v>0.1327</v>
      </c>
      <c r="AE23" s="28" t="n">
        <v>0.6669</v>
      </c>
      <c r="AF23" s="29" t="n">
        <v>13.75</v>
      </c>
      <c r="AG23" s="28" t="n">
        <v>0.1338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Courtland Sutton</t>
        </is>
      </c>
      <c r="C24" s="22" t="n">
        <v>2</v>
      </c>
      <c r="D24" s="22" t="inlineStr">
        <is>
          <t>30</t>
        </is>
      </c>
      <c r="E24" s="23" t="inlineStr">
        <is>
          <t>ACT</t>
        </is>
      </c>
      <c r="F24" s="24" t="inlineStr">
        <is>
          <t>DEN</t>
        </is>
      </c>
      <c r="G24" s="24" t="inlineStr">
        <is>
          <t>17</t>
        </is>
      </c>
      <c r="H24" s="25" t="n">
        <v>0.839</v>
      </c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>
        <v>0.2459</v>
      </c>
      <c r="R24" s="25" t="n">
        <v>0.2123</v>
      </c>
      <c r="S24" s="25" t="n">
        <v>0.609</v>
      </c>
      <c r="T24" s="26" t="n">
        <v>13.5</v>
      </c>
      <c r="U24" s="25" t="n">
        <v>0.2208</v>
      </c>
      <c r="V24" s="25" t="n">
        <v>0.28</v>
      </c>
      <c r="W24" s="27" t="n">
        <v>17</v>
      </c>
      <c r="X24" s="28" t="n"/>
      <c r="Y24" s="28" t="n"/>
      <c r="Z24" s="28" t="n"/>
      <c r="AA24" s="28" t="n">
        <v>0.008</v>
      </c>
      <c r="AB24" s="29" t="n"/>
      <c r="AC24" s="28" t="n"/>
      <c r="AD24" s="28" t="n">
        <v>0.1956</v>
      </c>
      <c r="AE24" s="28" t="n">
        <v>0.6089</v>
      </c>
      <c r="AF24" s="29" t="n">
        <v>13.41</v>
      </c>
      <c r="AG24" s="28" t="n">
        <v>0.2074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Troy Franklin</t>
        </is>
      </c>
      <c r="C25" s="35" t="n">
        <v>3</v>
      </c>
      <c r="D25" s="35" t="inlineStr">
        <is>
          <t>23</t>
        </is>
      </c>
      <c r="E25" s="42" t="inlineStr">
        <is>
          <t>ACT</t>
        </is>
      </c>
      <c r="F25" s="24" t="inlineStr">
        <is>
          <t>DEN</t>
        </is>
      </c>
      <c r="G25" s="24" t="inlineStr">
        <is>
          <t>17</t>
        </is>
      </c>
      <c r="H25" s="25" t="n">
        <v>0.513</v>
      </c>
      <c r="I25" s="25" t="n"/>
      <c r="J25" s="25" t="n"/>
      <c r="K25" s="26" t="n"/>
      <c r="L25" s="25" t="n"/>
      <c r="M25" s="25" t="n">
        <v>0.0114</v>
      </c>
      <c r="N25" s="26" t="n"/>
      <c r="O25" s="25" t="n"/>
      <c r="P25" s="25" t="n"/>
      <c r="Q25" s="25" t="n">
        <v>0.0965</v>
      </c>
      <c r="R25" s="25" t="n">
        <v>0.1781</v>
      </c>
      <c r="S25" s="25" t="n">
        <v>0.59</v>
      </c>
      <c r="T25" s="26" t="n">
        <v>10.36</v>
      </c>
      <c r="U25" s="25" t="n">
        <v>0.2338</v>
      </c>
      <c r="V25" s="25" t="n">
        <v>0.24</v>
      </c>
      <c r="W25" s="27" t="n">
        <v>17</v>
      </c>
      <c r="X25" s="28" t="n"/>
      <c r="Y25" s="28" t="n"/>
      <c r="Z25" s="28" t="n"/>
      <c r="AA25" s="28" t="n">
        <v>0.0054</v>
      </c>
      <c r="AB25" s="29" t="n">
        <v>2.86</v>
      </c>
      <c r="AC25" s="28" t="n"/>
      <c r="AD25" s="28" t="n">
        <v>0.1115</v>
      </c>
      <c r="AE25" s="28" t="n">
        <v>0.5901</v>
      </c>
      <c r="AF25" s="29" t="n">
        <v>10.45</v>
      </c>
      <c r="AG25" s="28" t="n">
        <v>0.1266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Pat Bryant</t>
        </is>
      </c>
      <c r="C26" s="22" t="n">
        <v>4</v>
      </c>
      <c r="D26" s="22" t="inlineStr">
        <is>
          <t>23</t>
        </is>
      </c>
      <c r="E26" s="23" t="inlineStr">
        <is>
          <t>ACT</t>
        </is>
      </c>
      <c r="F26" s="24" t="inlineStr">
        <is>
          <t>DEN</t>
        </is>
      </c>
      <c r="G26" s="24" t="inlineStr">
        <is>
          <t>15</t>
        </is>
      </c>
      <c r="H26" s="25" t="n">
        <v>0.477</v>
      </c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/>
      <c r="R26" s="25" t="n">
        <v>0.0839</v>
      </c>
      <c r="S26" s="25" t="n">
        <v>0.633</v>
      </c>
      <c r="T26" s="26" t="n">
        <v>12.19</v>
      </c>
      <c r="U26" s="25" t="n">
        <v>0.09089999999999999</v>
      </c>
      <c r="V26" s="25" t="n">
        <v>0.04</v>
      </c>
      <c r="W26" s="27" t="n">
        <v>17</v>
      </c>
      <c r="X26" s="28" t="n"/>
      <c r="Y26" s="28" t="n"/>
      <c r="Z26" s="28" t="n"/>
      <c r="AA26" s="28" t="n">
        <v>0.0008</v>
      </c>
      <c r="AB26" s="29" t="n"/>
      <c r="AC26" s="28" t="n"/>
      <c r="AD26" s="28" t="n">
        <v>0.06809999999999999</v>
      </c>
      <c r="AE26" s="28" t="n">
        <v>0.6327</v>
      </c>
      <c r="AF26" s="29" t="n">
        <v>12.19</v>
      </c>
      <c r="AG26" s="28" t="n">
        <v>0.0286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Marvin Mims</t>
        </is>
      </c>
      <c r="C27" s="35" t="n">
        <v>5</v>
      </c>
      <c r="D27" s="35" t="inlineStr">
        <is>
          <t>24</t>
        </is>
      </c>
      <c r="E27" s="36" t="inlineStr">
        <is>
          <t>QUESTIONABLE</t>
        </is>
      </c>
      <c r="F27" s="24" t="inlineStr">
        <is>
          <t>DEN</t>
        </is>
      </c>
      <c r="G27" s="24" t="inlineStr">
        <is>
          <t>15</t>
        </is>
      </c>
      <c r="H27" s="25" t="n">
        <v>0.341</v>
      </c>
      <c r="I27" s="25" t="n"/>
      <c r="J27" s="25" t="n"/>
      <c r="K27" s="26" t="n"/>
      <c r="L27" s="25" t="n"/>
      <c r="M27" s="25" t="n">
        <v>0.0274</v>
      </c>
      <c r="N27" s="26" t="n"/>
      <c r="O27" s="25" t="n">
        <v>0.0278</v>
      </c>
      <c r="P27" s="25" t="n">
        <v>0.0556</v>
      </c>
      <c r="Q27" s="25" t="n">
        <v>0.09470000000000001</v>
      </c>
      <c r="R27" s="25" t="n">
        <v>0.0873</v>
      </c>
      <c r="S27" s="25" t="n">
        <v>0.721</v>
      </c>
      <c r="T27" s="26" t="n">
        <v>11.76</v>
      </c>
      <c r="U27" s="25" t="n">
        <v>0.026</v>
      </c>
      <c r="V27" s="25" t="n">
        <v>0.04</v>
      </c>
      <c r="W27" s="27" t="n">
        <v>17</v>
      </c>
      <c r="X27" s="28" t="n"/>
      <c r="Y27" s="28" t="n"/>
      <c r="Z27" s="28" t="n"/>
      <c r="AA27" s="28" t="n">
        <v>0.0055</v>
      </c>
      <c r="AB27" s="29" t="n">
        <v>4.41</v>
      </c>
      <c r="AC27" s="28" t="n">
        <v>0.0472</v>
      </c>
      <c r="AD27" s="28" t="n">
        <v>0.058</v>
      </c>
      <c r="AE27" s="28" t="n">
        <v>0.7215</v>
      </c>
      <c r="AF27" s="29" t="n">
        <v>12.27</v>
      </c>
      <c r="AG27" s="28" t="n">
        <v>0.0648</v>
      </c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Lil'Jordan Humphrey</t>
        </is>
      </c>
      <c r="C28" s="22" t="n">
        <v>6</v>
      </c>
      <c r="D28" s="22" t="inlineStr">
        <is>
          <t>28</t>
        </is>
      </c>
      <c r="E28" s="23" t="inlineStr">
        <is>
          <t>ACT</t>
        </is>
      </c>
      <c r="F28" s="24" t="inlineStr">
        <is>
          <t>NYG</t>
        </is>
      </c>
      <c r="G28" s="24" t="inlineStr">
        <is>
          <t>3</t>
        </is>
      </c>
      <c r="H28" s="25" t="n">
        <v>0.47</v>
      </c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>
        <v>0.082</v>
      </c>
      <c r="R28" s="25" t="n">
        <v>0.0199</v>
      </c>
      <c r="S28" s="25" t="n">
        <v>0.6870000000000001</v>
      </c>
      <c r="T28" s="26" t="n">
        <v>10.66</v>
      </c>
      <c r="U28" s="25" t="n">
        <v>0.0333</v>
      </c>
      <c r="V28" s="25" t="n"/>
      <c r="W28" s="27" t="n">
        <v>17</v>
      </c>
      <c r="X28" s="28" t="n"/>
      <c r="Y28" s="28" t="n"/>
      <c r="Z28" s="28" t="n"/>
      <c r="AA28" s="28" t="n">
        <v>0.002</v>
      </c>
      <c r="AB28" s="29" t="n"/>
      <c r="AC28" s="28" t="n"/>
      <c r="AD28" s="28" t="n">
        <v>0.008500000000000001</v>
      </c>
      <c r="AE28" s="28" t="n">
        <v>0.644</v>
      </c>
      <c r="AF28" s="29" t="n">
        <v>10.62</v>
      </c>
      <c r="AG28" s="28" t="n">
        <v>0.0449</v>
      </c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Michael Bandy</t>
        </is>
      </c>
      <c r="C29" s="35" t="n">
        <v>7</v>
      </c>
      <c r="D29" s="35" t="inlineStr">
        <is>
          <t>28</t>
        </is>
      </c>
      <c r="E29" s="42" t="inlineStr">
        <is>
          <t>ACT</t>
        </is>
      </c>
      <c r="F29" s="24" t="inlineStr">
        <is>
          <t>DEN</t>
        </is>
      </c>
      <c r="G29" s="24" t="inlineStr">
        <is>
          <t>4</t>
        </is>
      </c>
      <c r="H29" s="25" t="n">
        <v>0.053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/>
      <c r="R29" s="25" t="n">
        <v>0.0068</v>
      </c>
      <c r="S29" s="25" t="n"/>
      <c r="T29" s="26" t="n"/>
      <c r="U29" s="25" t="n"/>
      <c r="V29" s="25" t="n">
        <v>0.04</v>
      </c>
      <c r="W29" s="27" t="n">
        <v>17</v>
      </c>
      <c r="X29" s="28" t="n"/>
      <c r="Y29" s="28" t="n"/>
      <c r="Z29" s="28" t="n"/>
      <c r="AA29" s="28" t="n">
        <v>0.0007</v>
      </c>
      <c r="AB29" s="29" t="n"/>
      <c r="AC29" s="28" t="n"/>
      <c r="AD29" s="28" t="n">
        <v>0.0055</v>
      </c>
      <c r="AE29" s="28" t="n">
        <v>1</v>
      </c>
      <c r="AF29" s="29" t="n">
        <v>12.5</v>
      </c>
      <c r="AG29" s="28" t="n">
        <v>0.0286</v>
      </c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Dane Key</t>
        </is>
      </c>
      <c r="C30" s="22" t="n">
        <v>8</v>
      </c>
      <c r="D30" s="22" t="inlineStr">
        <is>
          <t>23</t>
        </is>
      </c>
      <c r="E30" s="23" t="inlineStr">
        <is>
          <t>ACT</t>
        </is>
      </c>
      <c r="F30" s="24" t="inlineStr"/>
      <c r="G30" s="24" t="inlineStr"/>
      <c r="H30" s="25" t="n"/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/>
      <c r="R30" s="25" t="n"/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0.0021</v>
      </c>
      <c r="AB30" s="29" t="n"/>
      <c r="AC30" s="28" t="n"/>
      <c r="AD30" s="28" t="n">
        <v>0.0059</v>
      </c>
      <c r="AE30" s="28" t="n">
        <v>0.65</v>
      </c>
      <c r="AF30" s="29" t="n">
        <v>12.84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Evan Engram</t>
        </is>
      </c>
      <c r="C32" s="22" t="n">
        <v>1</v>
      </c>
      <c r="D32" s="22" t="inlineStr">
        <is>
          <t>31</t>
        </is>
      </c>
      <c r="E32" s="23" t="inlineStr">
        <is>
          <t>ACT</t>
        </is>
      </c>
      <c r="F32" s="24" t="inlineStr">
        <is>
          <t>DEN</t>
        </is>
      </c>
      <c r="G32" s="24" t="inlineStr">
        <is>
          <t>16</t>
        </is>
      </c>
      <c r="H32" s="25" t="n">
        <v>0.584</v>
      </c>
      <c r="I32" s="25" t="n"/>
      <c r="J32" s="25" t="n"/>
      <c r="K32" s="26" t="n"/>
      <c r="L32" s="25" t="n"/>
      <c r="M32" s="25" t="n">
        <v>0.0023</v>
      </c>
      <c r="N32" s="26" t="n"/>
      <c r="O32" s="25" t="n"/>
      <c r="P32" s="25" t="n"/>
      <c r="Q32" s="25" t="n">
        <v>0.1226</v>
      </c>
      <c r="R32" s="25" t="n">
        <v>0.1301</v>
      </c>
      <c r="S32" s="25" t="n">
        <v>0.706</v>
      </c>
      <c r="T32" s="26" t="n">
        <v>8.76</v>
      </c>
      <c r="U32" s="25" t="n">
        <v>0.1299</v>
      </c>
      <c r="V32" s="25" t="n">
        <v>0.04</v>
      </c>
      <c r="W32" s="27" t="n">
        <v>17</v>
      </c>
      <c r="X32" s="28" t="n"/>
      <c r="Y32" s="28" t="n"/>
      <c r="Z32" s="28" t="n"/>
      <c r="AA32" s="28" t="n">
        <v>0.0022</v>
      </c>
      <c r="AB32" s="29" t="n">
        <v>7</v>
      </c>
      <c r="AC32" s="28" t="n"/>
      <c r="AD32" s="28" t="n">
        <v>0.1237</v>
      </c>
      <c r="AE32" s="28" t="n">
        <v>0.7060999999999999</v>
      </c>
      <c r="AF32" s="29" t="n">
        <v>8.48</v>
      </c>
      <c r="AG32" s="28" t="n">
        <v>0.0547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Adam Trautman</t>
        </is>
      </c>
      <c r="C33" s="35" t="n">
        <v>2</v>
      </c>
      <c r="D33" s="35" t="inlineStr">
        <is>
          <t>29</t>
        </is>
      </c>
      <c r="E33" s="42" t="inlineStr">
        <is>
          <t>ACT</t>
        </is>
      </c>
      <c r="F33" s="24" t="inlineStr">
        <is>
          <t>DEN</t>
        </is>
      </c>
      <c r="G33" s="24" t="inlineStr">
        <is>
          <t>17</t>
        </is>
      </c>
      <c r="H33" s="25" t="n">
        <v>0.584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0.0401</v>
      </c>
      <c r="R33" s="25" t="n">
        <v>0.0394</v>
      </c>
      <c r="S33" s="25" t="n">
        <v>0.738</v>
      </c>
      <c r="T33" s="26" t="n">
        <v>11.07</v>
      </c>
      <c r="U33" s="25" t="n">
        <v>0.013</v>
      </c>
      <c r="V33" s="25" t="n">
        <v>0.04</v>
      </c>
      <c r="W33" s="27" t="n">
        <v>17</v>
      </c>
      <c r="X33" s="28" t="n"/>
      <c r="Y33" s="28" t="n"/>
      <c r="Z33" s="28" t="n"/>
      <c r="AA33" s="28" t="n">
        <v>0.0008</v>
      </c>
      <c r="AB33" s="29" t="n"/>
      <c r="AC33" s="28" t="n"/>
      <c r="AD33" s="28" t="n">
        <v>0.0399</v>
      </c>
      <c r="AE33" s="28" t="n">
        <v>0.7378</v>
      </c>
      <c r="AF33" s="29" t="n">
        <v>10.67</v>
      </c>
      <c r="AG33" s="28" t="n">
        <v>0.0438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Nate Adkins</t>
        </is>
      </c>
      <c r="C34" s="22" t="n">
        <v>3</v>
      </c>
      <c r="D34" s="22" t="inlineStr">
        <is>
          <t>27</t>
        </is>
      </c>
      <c r="E34" s="23" t="inlineStr">
        <is>
          <t>ACT</t>
        </is>
      </c>
      <c r="F34" s="24" t="inlineStr">
        <is>
          <t>DEN</t>
        </is>
      </c>
      <c r="G34" s="24" t="inlineStr">
        <is>
          <t>9</t>
        </is>
      </c>
      <c r="H34" s="25" t="n">
        <v>0.297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0.0273</v>
      </c>
      <c r="R34" s="25" t="n">
        <v>0.0188</v>
      </c>
      <c r="S34" s="25" t="n">
        <v>0.9330000000000001</v>
      </c>
      <c r="T34" s="26" t="n">
        <v>8.210000000000001</v>
      </c>
      <c r="U34" s="25" t="n">
        <v>0.026</v>
      </c>
      <c r="V34" s="25" t="n">
        <v>0.04</v>
      </c>
      <c r="W34" s="27" t="n">
        <v>17</v>
      </c>
      <c r="X34" s="28" t="n"/>
      <c r="Y34" s="28" t="n"/>
      <c r="Z34" s="28" t="n"/>
      <c r="AA34" s="28" t="n">
        <v>0.0008</v>
      </c>
      <c r="AB34" s="29" t="n"/>
      <c r="AC34" s="28" t="n"/>
      <c r="AD34" s="28" t="n">
        <v>0.018</v>
      </c>
      <c r="AE34" s="28" t="n">
        <v>0.7599</v>
      </c>
      <c r="AF34" s="29" t="n">
        <v>7.71</v>
      </c>
      <c r="AG34" s="28" t="n">
        <v>0.0513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Dallen Bentley</t>
        </is>
      </c>
      <c r="C35" s="35" t="n">
        <v>4</v>
      </c>
      <c r="D35" s="35" t="inlineStr">
        <is>
          <t>25</t>
        </is>
      </c>
      <c r="E35" s="42" t="inlineStr">
        <is>
          <t>ACT</t>
        </is>
      </c>
      <c r="F35" s="24" t="inlineStr"/>
      <c r="G35" s="24" t="inlineStr"/>
      <c r="H35" s="25" t="n"/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0.0021</v>
      </c>
      <c r="AB35" s="29" t="n"/>
      <c r="AC35" s="28" t="n"/>
      <c r="AD35" s="28" t="n">
        <v>0.008699999999999999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DET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1078</v>
      </c>
      <c r="D4" s="10">
        <f>$C$4/$B$4</f>
        <v/>
      </c>
      <c r="E4" s="11" t="n">
        <v>0.5622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1063</v>
      </c>
      <c r="M4" s="14" t="n">
        <v>62.5294</v>
      </c>
      <c r="N4" s="15" t="n">
        <v>0.5842000000000001</v>
      </c>
      <c r="O4" s="13" t="n">
        <v>582</v>
      </c>
      <c r="P4" s="13" t="n">
        <v>442</v>
      </c>
      <c r="Q4" s="16" t="n">
        <v>7.8471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46.3</v>
      </c>
      <c r="C7" s="11" t="n">
        <v>0.3962</v>
      </c>
      <c r="D7" s="10">
        <f>$B$7*$C$7</f>
        <v/>
      </c>
      <c r="E7" s="10">
        <f>$B$7-$D$7</f>
        <v/>
      </c>
      <c r="F7" s="12" t="n">
        <v>4400</v>
      </c>
      <c r="G7" s="12" t="n">
        <v>2139</v>
      </c>
      <c r="H7" s="12">
        <f>$F$7</f>
        <v/>
      </c>
      <c r="L7" s="13" t="n">
        <v>4567</v>
      </c>
      <c r="M7" s="13" t="n">
        <v>2041</v>
      </c>
      <c r="N7" s="14" t="n">
        <v>35</v>
      </c>
      <c r="O7" s="14" t="n">
        <v>21</v>
      </c>
      <c r="P7" s="14" t="n">
        <v>56</v>
      </c>
      <c r="Q7" s="15" t="n">
        <v>0.375</v>
      </c>
    </row>
    <row r="8"/>
    <row r="9">
      <c r="A9" s="5" t="inlineStr">
        <is>
          <t>NOTES</t>
        </is>
      </c>
      <c r="B9" s="18" t="inlineStr">
        <is>
          <t>13% of targets and 37% of carries left this roster.  HC unchanged. OC Drew Petzing under Dan Campbell. Won't completely depart from the prior system.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Jared Goff</t>
        </is>
      </c>
      <c r="C12" s="22" t="n">
        <v>1</v>
      </c>
      <c r="D12" s="22" t="inlineStr">
        <is>
          <t>31</t>
        </is>
      </c>
      <c r="E12" s="23" t="inlineStr">
        <is>
          <t>ACT</t>
        </is>
      </c>
      <c r="F12" s="24" t="inlineStr">
        <is>
          <t>DET</t>
        </is>
      </c>
      <c r="G12" s="24" t="inlineStr">
        <is>
          <t>17</t>
        </is>
      </c>
      <c r="H12" s="25" t="n">
        <v>0.983</v>
      </c>
      <c r="I12" s="25" t="n">
        <v>0.9931</v>
      </c>
      <c r="J12" s="25" t="n">
        <v>0.6919999999999999</v>
      </c>
      <c r="K12" s="26" t="n">
        <v>8.039999999999999</v>
      </c>
      <c r="L12" s="25" t="n">
        <v>0.018</v>
      </c>
      <c r="M12" s="25" t="n">
        <v>0.0255</v>
      </c>
      <c r="N12" s="26" t="n"/>
      <c r="O12" s="25" t="n">
        <v>0.0337</v>
      </c>
      <c r="P12" s="25" t="n"/>
      <c r="Q12" s="25" t="n">
        <v>0.0019</v>
      </c>
      <c r="R12" s="25" t="n"/>
      <c r="S12" s="25" t="n"/>
      <c r="T12" s="26" t="n"/>
      <c r="U12" s="25" t="n"/>
      <c r="V12" s="25" t="n"/>
      <c r="W12" s="27" t="n">
        <v>17</v>
      </c>
      <c r="X12" s="28" t="n">
        <v>0.8729</v>
      </c>
      <c r="Y12" s="28" t="n">
        <v>0.6919999999999999</v>
      </c>
      <c r="Z12" s="28" t="n">
        <v>0.018</v>
      </c>
      <c r="AA12" s="28" t="n">
        <v>0.0414</v>
      </c>
      <c r="AB12" s="29" t="n">
        <v>2.84</v>
      </c>
      <c r="AC12" s="28" t="n">
        <v>0.073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Joshua Dobbs</t>
        </is>
      </c>
      <c r="C13" s="35" t="n">
        <v>2</v>
      </c>
      <c r="D13" s="35" t="inlineStr">
        <is>
          <t>31</t>
        </is>
      </c>
      <c r="E13" s="42" t="inlineStr">
        <is>
          <t>ACT</t>
        </is>
      </c>
      <c r="F13" s="24" t="inlineStr">
        <is>
          <t>NE</t>
        </is>
      </c>
      <c r="G13" s="24" t="inlineStr">
        <is>
          <t>4</t>
        </is>
      </c>
      <c r="H13" s="25" t="n">
        <v>0.446</v>
      </c>
      <c r="I13" s="25" t="n">
        <v>0.0199</v>
      </c>
      <c r="J13" s="25" t="n">
        <v>0.649</v>
      </c>
      <c r="K13" s="26" t="n">
        <v>6.58</v>
      </c>
      <c r="L13" s="25" t="n">
        <v>0.037</v>
      </c>
      <c r="M13" s="25" t="n">
        <v>0.0022</v>
      </c>
      <c r="N13" s="26" t="n">
        <v>5.62</v>
      </c>
      <c r="O13" s="25" t="n"/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0.048</v>
      </c>
      <c r="Y13" s="28" t="n">
        <v>0.649</v>
      </c>
      <c r="Z13" s="28" t="n">
        <v>0.037</v>
      </c>
      <c r="AA13" s="28" t="n">
        <v>0.0106</v>
      </c>
      <c r="AB13" s="29" t="n">
        <v>4.79</v>
      </c>
      <c r="AC13" s="28" t="n">
        <v>0.2351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40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Jahmyr Gibbs</t>
        </is>
      </c>
      <c r="C16" s="22" t="n">
        <v>1</v>
      </c>
      <c r="D16" s="22" t="inlineStr">
        <is>
          <t>24</t>
        </is>
      </c>
      <c r="E16" s="23" t="inlineStr">
        <is>
          <t>ACT</t>
        </is>
      </c>
      <c r="F16" s="24" t="inlineStr">
        <is>
          <t>DET</t>
        </is>
      </c>
      <c r="G16" s="24" t="inlineStr">
        <is>
          <t>17</t>
        </is>
      </c>
      <c r="H16" s="25" t="n">
        <v>0.613</v>
      </c>
      <c r="I16" s="25" t="n"/>
      <c r="J16" s="25" t="n"/>
      <c r="K16" s="26" t="n"/>
      <c r="L16" s="25" t="n"/>
      <c r="M16" s="25" t="n">
        <v>0.5638</v>
      </c>
      <c r="N16" s="26" t="n">
        <v>5.25</v>
      </c>
      <c r="O16" s="25" t="n">
        <v>0.573</v>
      </c>
      <c r="P16" s="25" t="n">
        <v>0.619</v>
      </c>
      <c r="Q16" s="25" t="n">
        <v>0.1207</v>
      </c>
      <c r="R16" s="25" t="n">
        <v>0.1709</v>
      </c>
      <c r="S16" s="25" t="n">
        <v>0.805</v>
      </c>
      <c r="T16" s="26" t="n">
        <v>8.25</v>
      </c>
      <c r="U16" s="25" t="n">
        <v>0.1463</v>
      </c>
      <c r="V16" s="25" t="n">
        <v>0.1429</v>
      </c>
      <c r="W16" s="27" t="n">
        <v>17</v>
      </c>
      <c r="X16" s="28" t="n"/>
      <c r="Y16" s="28" t="n"/>
      <c r="Z16" s="28" t="n"/>
      <c r="AA16" s="28" t="n">
        <v>0.5061</v>
      </c>
      <c r="AB16" s="29" t="n">
        <v>5.3</v>
      </c>
      <c r="AC16" s="28" t="n">
        <v>0.5451</v>
      </c>
      <c r="AD16" s="28" t="n">
        <v>0.1344</v>
      </c>
      <c r="AE16" s="28" t="n">
        <v>0.8054</v>
      </c>
      <c r="AF16" s="29" t="n">
        <v>8.01</v>
      </c>
      <c r="AG16" s="28" t="n">
        <v>0.0789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Isiah Pacheco</t>
        </is>
      </c>
      <c r="C17" s="35" t="n">
        <v>2</v>
      </c>
      <c r="D17" s="35" t="inlineStr">
        <is>
          <t>27</t>
        </is>
      </c>
      <c r="E17" s="36" t="inlineStr">
        <is>
          <t>QUESTIONABLE</t>
        </is>
      </c>
      <c r="F17" s="24" t="inlineStr">
        <is>
          <t>KC</t>
        </is>
      </c>
      <c r="G17" s="24" t="inlineStr">
        <is>
          <t>13</t>
        </is>
      </c>
      <c r="H17" s="25" t="n">
        <v>0.524</v>
      </c>
      <c r="I17" s="25" t="n"/>
      <c r="J17" s="25" t="n"/>
      <c r="K17" s="26" t="n"/>
      <c r="L17" s="25" t="n"/>
      <c r="M17" s="25" t="n">
        <v>0.283</v>
      </c>
      <c r="N17" s="26" t="n">
        <v>4.04</v>
      </c>
      <c r="O17" s="25" t="n">
        <v>0.2143</v>
      </c>
      <c r="P17" s="25" t="n">
        <v>0.0667</v>
      </c>
      <c r="Q17" s="25" t="n">
        <v>0.028</v>
      </c>
      <c r="R17" s="25" t="n">
        <v>0.0474</v>
      </c>
      <c r="S17" s="25" t="n">
        <v>0.775</v>
      </c>
      <c r="T17" s="26" t="n">
        <v>5.61</v>
      </c>
      <c r="U17" s="25" t="n">
        <v>0.0299</v>
      </c>
      <c r="V17" s="25" t="n">
        <v>0.0435</v>
      </c>
      <c r="W17" s="27" t="n">
        <v>17</v>
      </c>
      <c r="X17" s="28" t="n"/>
      <c r="Y17" s="28" t="n"/>
      <c r="Z17" s="28" t="n"/>
      <c r="AA17" s="28" t="n">
        <v>0.2936</v>
      </c>
      <c r="AB17" s="29" t="n">
        <v>4.2</v>
      </c>
      <c r="AC17" s="28" t="n">
        <v>0.2377</v>
      </c>
      <c r="AD17" s="28" t="n">
        <v>0.0497</v>
      </c>
      <c r="AE17" s="28" t="n">
        <v>0.7754</v>
      </c>
      <c r="AF17" s="29" t="n">
        <v>5.65</v>
      </c>
      <c r="AG17" s="28" t="n">
        <v>0.037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Jacob Saylors</t>
        </is>
      </c>
      <c r="C18" s="22" t="n">
        <v>3</v>
      </c>
      <c r="D18" s="22" t="inlineStr">
        <is>
          <t>25</t>
        </is>
      </c>
      <c r="E18" s="23" t="inlineStr">
        <is>
          <t>ACT</t>
        </is>
      </c>
      <c r="F18" s="24" t="inlineStr">
        <is>
          <t>DET</t>
        </is>
      </c>
      <c r="G18" s="24" t="inlineStr">
        <is>
          <t>16</t>
        </is>
      </c>
      <c r="H18" s="25" t="n">
        <v>0.033</v>
      </c>
      <c r="I18" s="25" t="n"/>
      <c r="J18" s="25" t="n"/>
      <c r="K18" s="26" t="n"/>
      <c r="L18" s="25" t="n"/>
      <c r="M18" s="25" t="n">
        <v>0.0046</v>
      </c>
      <c r="N18" s="26" t="n"/>
      <c r="O18" s="25" t="n"/>
      <c r="P18" s="25" t="n"/>
      <c r="Q18" s="25" t="n"/>
      <c r="R18" s="25" t="n"/>
      <c r="S18" s="25" t="n"/>
      <c r="T18" s="26" t="n"/>
      <c r="U18" s="25" t="n"/>
      <c r="V18" s="25" t="n"/>
      <c r="W18" s="27" t="n">
        <v>17</v>
      </c>
      <c r="X18" s="28" t="n"/>
      <c r="Y18" s="28" t="n"/>
      <c r="Z18" s="28" t="n"/>
      <c r="AA18" s="28" t="n">
        <v>0.0075</v>
      </c>
      <c r="AB18" s="29" t="n">
        <v>5.5</v>
      </c>
      <c r="AC18" s="28" t="n"/>
      <c r="AD18" s="28" t="n">
        <v>0.0013</v>
      </c>
      <c r="AE18" s="28" t="n">
        <v>0.774</v>
      </c>
      <c r="AF18" s="29" t="n">
        <v>7.13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Jabari Small</t>
        </is>
      </c>
      <c r="C19" s="35" t="n">
        <v>4</v>
      </c>
      <c r="D19" s="35" t="inlineStr">
        <is>
          <t>25</t>
        </is>
      </c>
      <c r="E19" s="42" t="inlineStr">
        <is>
          <t>ACT</t>
        </is>
      </c>
      <c r="F19" s="24" t="inlineStr"/>
      <c r="G19" s="24" t="inlineStr"/>
      <c r="H19" s="25" t="n"/>
      <c r="I19" s="25" t="n"/>
      <c r="J19" s="25" t="n"/>
      <c r="K19" s="26" t="n"/>
      <c r="L19" s="25" t="n"/>
      <c r="M19" s="25" t="n"/>
      <c r="N19" s="26" t="n"/>
      <c r="O19" s="25" t="n"/>
      <c r="P19" s="25" t="n"/>
      <c r="Q19" s="25" t="n"/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0.015</v>
      </c>
      <c r="AB19" s="29" t="n">
        <v>4.13</v>
      </c>
      <c r="AC19" s="28" t="n"/>
      <c r="AD19" s="28" t="n">
        <v>0.0057</v>
      </c>
      <c r="AE19" s="28" t="n">
        <v>0.75</v>
      </c>
      <c r="AF19" s="29" t="n">
        <v>7.13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Sione Vaki</t>
        </is>
      </c>
      <c r="C20" s="22" t="n">
        <v>5</v>
      </c>
      <c r="D20" s="22" t="inlineStr">
        <is>
          <t>25</t>
        </is>
      </c>
      <c r="E20" s="23" t="inlineStr">
        <is>
          <t>ACT</t>
        </is>
      </c>
      <c r="F20" s="24" t="inlineStr">
        <is>
          <t>DET</t>
        </is>
      </c>
      <c r="G20" s="24" t="inlineStr">
        <is>
          <t>11</t>
        </is>
      </c>
      <c r="H20" s="25" t="n">
        <v>0.021</v>
      </c>
      <c r="I20" s="25" t="n"/>
      <c r="J20" s="25" t="n"/>
      <c r="K20" s="26" t="n"/>
      <c r="L20" s="25" t="n"/>
      <c r="M20" s="25" t="n">
        <v>0.0023</v>
      </c>
      <c r="N20" s="26" t="n"/>
      <c r="O20" s="25" t="n"/>
      <c r="P20" s="25" t="n"/>
      <c r="Q20" s="25" t="n">
        <v>0.0057</v>
      </c>
      <c r="R20" s="25" t="n"/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0.0081</v>
      </c>
      <c r="AB20" s="29" t="n">
        <v>4.13</v>
      </c>
      <c r="AC20" s="28" t="n"/>
      <c r="AD20" s="28" t="n">
        <v>0.0049</v>
      </c>
      <c r="AE20" s="28" t="n">
        <v>1</v>
      </c>
      <c r="AF20" s="29" t="n">
        <v>7.13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Amon-Ra St. Brown</t>
        </is>
      </c>
      <c r="C23" s="35" t="n">
        <v>1</v>
      </c>
      <c r="D23" s="35" t="inlineStr">
        <is>
          <t>26</t>
        </is>
      </c>
      <c r="E23" s="42" t="inlineStr">
        <is>
          <t>ACT</t>
        </is>
      </c>
      <c r="F23" s="24" t="inlineStr">
        <is>
          <t>DET</t>
        </is>
      </c>
      <c r="G23" s="24" t="inlineStr">
        <is>
          <t>17</t>
        </is>
      </c>
      <c r="H23" s="25" t="n">
        <v>0.871</v>
      </c>
      <c r="I23" s="25" t="n"/>
      <c r="J23" s="25" t="n"/>
      <c r="K23" s="26" t="n"/>
      <c r="L23" s="25" t="n"/>
      <c r="M23" s="25" t="n">
        <v>0.007</v>
      </c>
      <c r="N23" s="26" t="n"/>
      <c r="O23" s="25" t="n">
        <v>0.0112</v>
      </c>
      <c r="P23" s="25" t="n"/>
      <c r="Q23" s="25" t="n">
        <v>0.2701</v>
      </c>
      <c r="R23" s="25" t="n">
        <v>0.3127</v>
      </c>
      <c r="S23" s="25" t="n">
        <v>0.73</v>
      </c>
      <c r="T23" s="26" t="n">
        <v>11.82</v>
      </c>
      <c r="U23" s="25" t="n">
        <v>0.4146</v>
      </c>
      <c r="V23" s="25" t="n">
        <v>0.3143</v>
      </c>
      <c r="W23" s="27" t="n">
        <v>17</v>
      </c>
      <c r="X23" s="28" t="n"/>
      <c r="Y23" s="28" t="n"/>
      <c r="Z23" s="28" t="n"/>
      <c r="AA23" s="28" t="n">
        <v>0.0129</v>
      </c>
      <c r="AB23" s="29" t="n">
        <v>4.33</v>
      </c>
      <c r="AC23" s="28" t="n"/>
      <c r="AD23" s="28" t="n">
        <v>0.278</v>
      </c>
      <c r="AE23" s="28" t="n">
        <v>0.73</v>
      </c>
      <c r="AF23" s="29" t="n">
        <v>11.91</v>
      </c>
      <c r="AG23" s="28" t="n">
        <v>0.2252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Jameson Williams</t>
        </is>
      </c>
      <c r="C24" s="22" t="n">
        <v>2</v>
      </c>
      <c r="D24" s="22" t="inlineStr">
        <is>
          <t>25</t>
        </is>
      </c>
      <c r="E24" s="23" t="inlineStr">
        <is>
          <t>ACT</t>
        </is>
      </c>
      <c r="F24" s="24" t="inlineStr">
        <is>
          <t>DET</t>
        </is>
      </c>
      <c r="G24" s="24" t="inlineStr">
        <is>
          <t>17</t>
        </is>
      </c>
      <c r="H24" s="25" t="n">
        <v>0.796</v>
      </c>
      <c r="I24" s="25" t="n"/>
      <c r="J24" s="25" t="n"/>
      <c r="K24" s="26" t="n"/>
      <c r="L24" s="25" t="n"/>
      <c r="M24" s="25" t="n">
        <v>0.0139</v>
      </c>
      <c r="N24" s="26" t="n"/>
      <c r="O24" s="25" t="n">
        <v>0.0112</v>
      </c>
      <c r="P24" s="25" t="n"/>
      <c r="Q24" s="25" t="n">
        <v>0.1743</v>
      </c>
      <c r="R24" s="25" t="n">
        <v>0.1855</v>
      </c>
      <c r="S24" s="25" t="n">
        <v>0.627</v>
      </c>
      <c r="T24" s="26" t="n">
        <v>16.83</v>
      </c>
      <c r="U24" s="25" t="n">
        <v>0.09760000000000001</v>
      </c>
      <c r="V24" s="25" t="n">
        <v>0.2</v>
      </c>
      <c r="W24" s="27" t="n">
        <v>17</v>
      </c>
      <c r="X24" s="28" t="n"/>
      <c r="Y24" s="28" t="n"/>
      <c r="Z24" s="28" t="n"/>
      <c r="AA24" s="28" t="n">
        <v>0.0098</v>
      </c>
      <c r="AB24" s="29" t="n">
        <v>5.1</v>
      </c>
      <c r="AC24" s="28" t="n">
        <v>0.0349</v>
      </c>
      <c r="AD24" s="28" t="n">
        <v>0.1579</v>
      </c>
      <c r="AE24" s="28" t="n">
        <v>0.627</v>
      </c>
      <c r="AF24" s="29" t="n">
        <v>16.82</v>
      </c>
      <c r="AG24" s="28" t="n">
        <v>0.1235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Isaac TeSlaa</t>
        </is>
      </c>
      <c r="C25" s="35" t="n">
        <v>3</v>
      </c>
      <c r="D25" s="35" t="inlineStr">
        <is>
          <t>24</t>
        </is>
      </c>
      <c r="E25" s="42" t="inlineStr">
        <is>
          <t>ACT</t>
        </is>
      </c>
      <c r="F25" s="24" t="inlineStr">
        <is>
          <t>DET</t>
        </is>
      </c>
      <c r="G25" s="24" t="inlineStr">
        <is>
          <t>17</t>
        </is>
      </c>
      <c r="H25" s="25" t="n">
        <v>0.396</v>
      </c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/>
      <c r="R25" s="25" t="n">
        <v>0.0491</v>
      </c>
      <c r="S25" s="25" t="n">
        <v>0.593</v>
      </c>
      <c r="T25" s="26" t="n">
        <v>14.94</v>
      </c>
      <c r="U25" s="25" t="n">
        <v>0.122</v>
      </c>
      <c r="V25" s="25" t="n">
        <v>0.1714</v>
      </c>
      <c r="W25" s="27" t="n">
        <v>17</v>
      </c>
      <c r="X25" s="28" t="n"/>
      <c r="Y25" s="28" t="n"/>
      <c r="Z25" s="28" t="n"/>
      <c r="AA25" s="28" t="n">
        <v>0.0018</v>
      </c>
      <c r="AB25" s="29" t="n"/>
      <c r="AC25" s="28" t="n"/>
      <c r="AD25" s="28" t="n">
        <v>0.0622</v>
      </c>
      <c r="AE25" s="28" t="n">
        <v>0.5926</v>
      </c>
      <c r="AF25" s="29" t="n">
        <v>14.94</v>
      </c>
      <c r="AG25" s="28" t="n">
        <v>0.1222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Jackson Meeks</t>
        </is>
      </c>
      <c r="C26" s="22" t="n">
        <v>4</v>
      </c>
      <c r="D26" s="22" t="inlineStr">
        <is>
          <t>23</t>
        </is>
      </c>
      <c r="E26" s="23" t="inlineStr">
        <is>
          <t>ACT</t>
        </is>
      </c>
      <c r="F26" s="24" t="inlineStr"/>
      <c r="G26" s="24" t="inlineStr"/>
      <c r="H26" s="25" t="n">
        <v>0.045</v>
      </c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/>
      <c r="R26" s="25" t="n"/>
      <c r="S26" s="25" t="n"/>
      <c r="T26" s="26" t="n"/>
      <c r="U26" s="25" t="n"/>
      <c r="V26" s="25" t="n"/>
      <c r="W26" s="27" t="n">
        <v>17</v>
      </c>
      <c r="X26" s="28" t="n"/>
      <c r="Y26" s="28" t="n"/>
      <c r="Z26" s="28" t="n"/>
      <c r="AA26" s="28" t="n">
        <v>0.0023</v>
      </c>
      <c r="AB26" s="29" t="n"/>
      <c r="AC26" s="28" t="n"/>
      <c r="AD26" s="28" t="n">
        <v>0.0515</v>
      </c>
      <c r="AE26" s="28" t="n">
        <v>0.65</v>
      </c>
      <c r="AF26" s="29" t="n">
        <v>12.84</v>
      </c>
      <c r="AG26" s="28" t="n"/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Malik Cunningham</t>
        </is>
      </c>
      <c r="C27" s="35" t="n">
        <v>5</v>
      </c>
      <c r="D27" s="35" t="inlineStr">
        <is>
          <t>27</t>
        </is>
      </c>
      <c r="E27" s="42" t="inlineStr">
        <is>
          <t>ACT</t>
        </is>
      </c>
      <c r="F27" s="24" t="inlineStr">
        <is>
          <t>DET</t>
        </is>
      </c>
      <c r="G27" s="24" t="inlineStr">
        <is>
          <t>1</t>
        </is>
      </c>
      <c r="H27" s="25" t="n">
        <v>0.039</v>
      </c>
      <c r="I27" s="25" t="n"/>
      <c r="J27" s="25" t="n"/>
      <c r="K27" s="26" t="n"/>
      <c r="L27" s="25" t="n"/>
      <c r="M27" s="25" t="n">
        <v>0.0023</v>
      </c>
      <c r="N27" s="26" t="n"/>
      <c r="O27" s="25" t="n"/>
      <c r="P27" s="25" t="n"/>
      <c r="Q27" s="25" t="n"/>
      <c r="R27" s="25" t="n"/>
      <c r="S27" s="25" t="n"/>
      <c r="T27" s="26" t="n"/>
      <c r="U27" s="25" t="n"/>
      <c r="V27" s="25" t="n"/>
      <c r="W27" s="27" t="n">
        <v>17</v>
      </c>
      <c r="X27" s="28" t="n"/>
      <c r="Y27" s="28" t="n"/>
      <c r="Z27" s="28" t="n"/>
      <c r="AA27" s="28" t="n">
        <v>0.0024</v>
      </c>
      <c r="AB27" s="29" t="n"/>
      <c r="AC27" s="28" t="n"/>
      <c r="AD27" s="28" t="n">
        <v>0.0075</v>
      </c>
      <c r="AE27" s="28" t="n">
        <v>0.619</v>
      </c>
      <c r="AF27" s="29" t="n">
        <v>12.84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Tay Martin</t>
        </is>
      </c>
      <c r="C28" s="22" t="n">
        <v>6</v>
      </c>
      <c r="D28" s="22" t="inlineStr">
        <is>
          <t>28</t>
        </is>
      </c>
      <c r="E28" s="23" t="inlineStr">
        <is>
          <t>ACT</t>
        </is>
      </c>
      <c r="F28" s="24" t="inlineStr">
        <is>
          <t>WAS</t>
        </is>
      </c>
      <c r="G28" s="24" t="inlineStr">
        <is>
          <t>3</t>
        </is>
      </c>
      <c r="H28" s="25" t="n">
        <v>0.111</v>
      </c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>
        <v>0.0039</v>
      </c>
      <c r="R28" s="25" t="n">
        <v>0.0046</v>
      </c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0.0022</v>
      </c>
      <c r="AB28" s="29" t="n"/>
      <c r="AC28" s="28" t="n"/>
      <c r="AD28" s="28" t="n">
        <v>0.0111</v>
      </c>
      <c r="AE28" s="28" t="n">
        <v>0.9167</v>
      </c>
      <c r="AF28" s="29" t="n">
        <v>12.84</v>
      </c>
      <c r="AG28" s="28" t="n">
        <v>0.0402</v>
      </c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n"/>
      <c r="C29" s="34" t="n"/>
      <c r="D29" s="34" t="n"/>
      <c r="E29" s="34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40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Sam LaPorta</t>
        </is>
      </c>
      <c r="C32" s="22" t="n">
        <v>1</v>
      </c>
      <c r="D32" s="22" t="inlineStr">
        <is>
          <t>25</t>
        </is>
      </c>
      <c r="E32" s="41" t="inlineStr">
        <is>
          <t>QUESTIONABLE</t>
        </is>
      </c>
      <c r="F32" s="24" t="inlineStr">
        <is>
          <t>DET</t>
        </is>
      </c>
      <c r="G32" s="24" t="inlineStr">
        <is>
          <t>9</t>
        </is>
      </c>
      <c r="H32" s="25" t="n">
        <v>0.873</v>
      </c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>
        <v>0.159</v>
      </c>
      <c r="R32" s="25" t="n">
        <v>0.0891</v>
      </c>
      <c r="S32" s="25" t="n">
        <v>0.754</v>
      </c>
      <c r="T32" s="26" t="n">
        <v>11.67</v>
      </c>
      <c r="U32" s="25" t="n">
        <v>0.0488</v>
      </c>
      <c r="V32" s="25" t="n">
        <v>0.0857</v>
      </c>
      <c r="W32" s="27" t="n">
        <v>17</v>
      </c>
      <c r="X32" s="28" t="n"/>
      <c r="Y32" s="28" t="n"/>
      <c r="Z32" s="28" t="n"/>
      <c r="AA32" s="28" t="n">
        <v>0.0022</v>
      </c>
      <c r="AB32" s="29" t="n">
        <v>4</v>
      </c>
      <c r="AC32" s="28" t="n"/>
      <c r="AD32" s="28" t="n">
        <v>0.1478</v>
      </c>
      <c r="AE32" s="28" t="n">
        <v>0.7543</v>
      </c>
      <c r="AF32" s="29" t="n">
        <v>11.31</v>
      </c>
      <c r="AG32" s="28" t="n">
        <v>0.1336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Brock Wright</t>
        </is>
      </c>
      <c r="C33" s="35" t="n">
        <v>2</v>
      </c>
      <c r="D33" s="35" t="inlineStr">
        <is>
          <t>27</t>
        </is>
      </c>
      <c r="E33" s="42" t="inlineStr">
        <is>
          <t>ACT</t>
        </is>
      </c>
      <c r="F33" s="24" t="inlineStr">
        <is>
          <t>DET</t>
        </is>
      </c>
      <c r="G33" s="24" t="inlineStr">
        <is>
          <t>11</t>
        </is>
      </c>
      <c r="H33" s="25" t="n">
        <v>0.528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0.0307</v>
      </c>
      <c r="R33" s="25" t="n">
        <v>0.04</v>
      </c>
      <c r="S33" s="25" t="n">
        <v>0.721</v>
      </c>
      <c r="T33" s="26" t="n">
        <v>7.56</v>
      </c>
      <c r="U33" s="25" t="n">
        <v>0.0244</v>
      </c>
      <c r="V33" s="25" t="n">
        <v>0.0571</v>
      </c>
      <c r="W33" s="27" t="n">
        <v>17</v>
      </c>
      <c r="X33" s="28" t="n"/>
      <c r="Y33" s="28" t="n"/>
      <c r="Z33" s="28" t="n"/>
      <c r="AA33" s="28" t="n">
        <v>0.0009</v>
      </c>
      <c r="AB33" s="29" t="n"/>
      <c r="AC33" s="28" t="n"/>
      <c r="AD33" s="28" t="n">
        <v>0.0356</v>
      </c>
      <c r="AE33" s="28" t="n">
        <v>0.7645</v>
      </c>
      <c r="AF33" s="29" t="n">
        <v>7.47</v>
      </c>
      <c r="AG33" s="28" t="n">
        <v>0.0356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40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n"/>
      <c r="C35" s="34" t="n"/>
      <c r="D35" s="34" t="n"/>
      <c r="E35" s="34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GB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1035</v>
      </c>
      <c r="D4" s="10">
        <f>$C$4/$B$4</f>
        <v/>
      </c>
      <c r="E4" s="11" t="n">
        <v>0.5326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1010</v>
      </c>
      <c r="M4" s="14" t="n">
        <v>59.4118</v>
      </c>
      <c r="N4" s="15" t="n">
        <v>0.5129</v>
      </c>
      <c r="O4" s="13" t="n">
        <v>489</v>
      </c>
      <c r="P4" s="13" t="n">
        <v>492</v>
      </c>
      <c r="Q4" s="16" t="n">
        <v>7.863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43.7</v>
      </c>
      <c r="C7" s="11" t="n">
        <v>0.3864</v>
      </c>
      <c r="D7" s="10">
        <f>$B$7*$C$7</f>
        <v/>
      </c>
      <c r="E7" s="10">
        <f>$B$7-$D$7</f>
        <v/>
      </c>
      <c r="F7" s="12" t="n">
        <v>3962</v>
      </c>
      <c r="G7" s="12" t="n">
        <v>2103</v>
      </c>
      <c r="H7" s="12">
        <f>$F$7</f>
        <v/>
      </c>
      <c r="L7" s="13" t="n">
        <v>3845</v>
      </c>
      <c r="M7" s="13" t="n">
        <v>2037</v>
      </c>
      <c r="N7" s="14" t="n">
        <v>26</v>
      </c>
      <c r="O7" s="14" t="n">
        <v>18</v>
      </c>
      <c r="P7" s="14" t="n">
        <v>44</v>
      </c>
      <c r="Q7" s="15" t="n">
        <v>0.4090909090909091</v>
      </c>
    </row>
    <row r="8"/>
    <row r="9">
      <c r="A9" s="5" t="inlineStr">
        <is>
          <t>NOTES</t>
        </is>
      </c>
      <c r="B9" s="18" t="inlineStr">
        <is>
          <t>39% of targets and 33% of carries left this roster.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Jordan Love</t>
        </is>
      </c>
      <c r="C12" s="22" t="n">
        <v>1</v>
      </c>
      <c r="D12" s="22" t="inlineStr">
        <is>
          <t>27</t>
        </is>
      </c>
      <c r="E12" s="23" t="inlineStr">
        <is>
          <t>ACT</t>
        </is>
      </c>
      <c r="F12" s="24" t="inlineStr">
        <is>
          <t>GB</t>
        </is>
      </c>
      <c r="G12" s="24" t="inlineStr">
        <is>
          <t>15</t>
        </is>
      </c>
      <c r="H12" s="25" t="n">
        <v>0.944</v>
      </c>
      <c r="I12" s="25" t="n">
        <v>0.8978</v>
      </c>
      <c r="J12" s="25" t="n">
        <v>0.649</v>
      </c>
      <c r="K12" s="26" t="n">
        <v>7.67</v>
      </c>
      <c r="L12" s="25" t="n">
        <v>0.018</v>
      </c>
      <c r="M12" s="25" t="n">
        <v>0.0717</v>
      </c>
      <c r="N12" s="26" t="n">
        <v>6.05</v>
      </c>
      <c r="O12" s="25" t="n">
        <v>0.0674</v>
      </c>
      <c r="P12" s="25" t="n"/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0.8666</v>
      </c>
      <c r="Y12" s="28" t="n">
        <v>0.649</v>
      </c>
      <c r="Z12" s="28" t="n">
        <v>0.018</v>
      </c>
      <c r="AA12" s="28" t="n">
        <v>0.07149999999999999</v>
      </c>
      <c r="AB12" s="29" t="n">
        <v>5.88</v>
      </c>
      <c r="AC12" s="28" t="n">
        <v>0.1682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Tyrod Taylor</t>
        </is>
      </c>
      <c r="C13" s="35" t="n">
        <v>2</v>
      </c>
      <c r="D13" s="35" t="inlineStr">
        <is>
          <t>37</t>
        </is>
      </c>
      <c r="E13" s="42" t="inlineStr">
        <is>
          <t>ACT</t>
        </is>
      </c>
      <c r="F13" s="24" t="inlineStr">
        <is>
          <t>NYJ</t>
        </is>
      </c>
      <c r="G13" s="24" t="inlineStr">
        <is>
          <t>6</t>
        </is>
      </c>
      <c r="H13" s="25" t="n">
        <v>0.524</v>
      </c>
      <c r="I13" s="25" t="n">
        <v>0.2713</v>
      </c>
      <c r="J13" s="25" t="n">
        <v>0.633</v>
      </c>
      <c r="K13" s="26" t="n">
        <v>6.39</v>
      </c>
      <c r="L13" s="25" t="n">
        <v>0.026</v>
      </c>
      <c r="M13" s="25" t="n">
        <v>0.0556</v>
      </c>
      <c r="N13" s="26" t="n">
        <v>5.68</v>
      </c>
      <c r="O13" s="25" t="n">
        <v>0.0566</v>
      </c>
      <c r="P13" s="25" t="n">
        <v>0.09089999999999999</v>
      </c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0.0764</v>
      </c>
      <c r="Y13" s="28" t="n">
        <v>0.633</v>
      </c>
      <c r="Z13" s="28" t="n">
        <v>0.026</v>
      </c>
      <c r="AA13" s="28" t="n">
        <v>0.0211</v>
      </c>
      <c r="AB13" s="29" t="n">
        <v>5.6</v>
      </c>
      <c r="AC13" s="28" t="n">
        <v>0.07770000000000001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40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Josh Jacobs</t>
        </is>
      </c>
      <c r="C16" s="22" t="n">
        <v>1</v>
      </c>
      <c r="D16" s="22" t="inlineStr">
        <is>
          <t>28</t>
        </is>
      </c>
      <c r="E16" s="41" t="inlineStr">
        <is>
          <t>DNR</t>
        </is>
      </c>
      <c r="F16" s="24" t="inlineStr">
        <is>
          <t>GB</t>
        </is>
      </c>
      <c r="G16" s="24" t="inlineStr">
        <is>
          <t>15</t>
        </is>
      </c>
      <c r="H16" s="25" t="n">
        <v>0.638</v>
      </c>
      <c r="I16" s="25" t="n"/>
      <c r="J16" s="25" t="n"/>
      <c r="K16" s="26" t="n"/>
      <c r="L16" s="25" t="n"/>
      <c r="M16" s="25" t="n">
        <v>0.4937</v>
      </c>
      <c r="N16" s="26" t="n">
        <v>4.03</v>
      </c>
      <c r="O16" s="25" t="n">
        <v>0.5393</v>
      </c>
      <c r="P16" s="25" t="n">
        <v>0.7222</v>
      </c>
      <c r="Q16" s="25" t="n">
        <v>0.0927</v>
      </c>
      <c r="R16" s="25" t="n">
        <v>0.09569999999999999</v>
      </c>
      <c r="S16" s="25" t="n">
        <v>0.802</v>
      </c>
      <c r="T16" s="26" t="n">
        <v>8.42</v>
      </c>
      <c r="U16" s="25" t="n">
        <v>0.09229999999999999</v>
      </c>
      <c r="V16" s="25" t="n">
        <v>0.0385</v>
      </c>
      <c r="W16" s="27" t="n">
        <v>17</v>
      </c>
      <c r="X16" s="28" t="n"/>
      <c r="Y16" s="28" t="n"/>
      <c r="Z16" s="28" t="n"/>
      <c r="AA16" s="28" t="n">
        <v>0.5379</v>
      </c>
      <c r="AB16" s="29" t="n">
        <v>3.99</v>
      </c>
      <c r="AC16" s="28" t="n">
        <v>0.5712</v>
      </c>
      <c r="AD16" s="28" t="n">
        <v>0.1054</v>
      </c>
      <c r="AE16" s="28" t="n">
        <v>0.8018</v>
      </c>
      <c r="AF16" s="29" t="n">
        <v>8.44</v>
      </c>
      <c r="AG16" s="28" t="n">
        <v>0.0498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MarShawn Lloyd</t>
        </is>
      </c>
      <c r="C17" s="35" t="n">
        <v>2</v>
      </c>
      <c r="D17" s="35" t="inlineStr">
        <is>
          <t>25</t>
        </is>
      </c>
      <c r="E17" s="42" t="inlineStr">
        <is>
          <t>ACT</t>
        </is>
      </c>
      <c r="F17" s="24" t="inlineStr"/>
      <c r="G17" s="24" t="inlineStr"/>
      <c r="H17" s="25" t="n">
        <v>0.14</v>
      </c>
      <c r="I17" s="25" t="n"/>
      <c r="J17" s="25" t="n"/>
      <c r="K17" s="26" t="n"/>
      <c r="L17" s="25" t="n"/>
      <c r="M17" s="25" t="n"/>
      <c r="N17" s="26" t="n"/>
      <c r="O17" s="25" t="n"/>
      <c r="P17" s="25" t="n"/>
      <c r="Q17" s="25" t="n">
        <v>0.0022</v>
      </c>
      <c r="R17" s="25" t="n"/>
      <c r="S17" s="25" t="n"/>
      <c r="T17" s="26" t="n"/>
      <c r="U17" s="25" t="n"/>
      <c r="V17" s="25" t="n"/>
      <c r="W17" s="27" t="n">
        <v>17</v>
      </c>
      <c r="X17" s="28" t="n"/>
      <c r="Y17" s="28" t="n"/>
      <c r="Z17" s="28" t="n"/>
      <c r="AA17" s="28" t="n">
        <v>0.0356</v>
      </c>
      <c r="AB17" s="29" t="n">
        <v>2.5</v>
      </c>
      <c r="AC17" s="28" t="n"/>
      <c r="AD17" s="28" t="n">
        <v>0.0126</v>
      </c>
      <c r="AE17" s="28" t="n">
        <v>1</v>
      </c>
      <c r="AF17" s="29" t="n">
        <v>7.13</v>
      </c>
      <c r="AG17" s="28" t="n"/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Chris Brooks</t>
        </is>
      </c>
      <c r="C18" s="22" t="n">
        <v>3</v>
      </c>
      <c r="D18" s="22" t="inlineStr">
        <is>
          <t>26</t>
        </is>
      </c>
      <c r="E18" s="23" t="inlineStr">
        <is>
          <t>ACT</t>
        </is>
      </c>
      <c r="F18" s="24" t="inlineStr">
        <is>
          <t>GB</t>
        </is>
      </c>
      <c r="G18" s="24" t="inlineStr">
        <is>
          <t>17</t>
        </is>
      </c>
      <c r="H18" s="25" t="n">
        <v>0.195</v>
      </c>
      <c r="I18" s="25" t="n"/>
      <c r="J18" s="25" t="n"/>
      <c r="K18" s="26" t="n"/>
      <c r="L18" s="25" t="n"/>
      <c r="M18" s="25" t="n">
        <v>0.057</v>
      </c>
      <c r="N18" s="26" t="n">
        <v>4.33</v>
      </c>
      <c r="O18" s="25" t="n">
        <v>0.0337</v>
      </c>
      <c r="P18" s="25" t="n"/>
      <c r="Q18" s="25" t="n">
        <v>0.028</v>
      </c>
      <c r="R18" s="25" t="n">
        <v>0.037</v>
      </c>
      <c r="S18" s="25" t="n">
        <v>0.765</v>
      </c>
      <c r="T18" s="26" t="n">
        <v>7</v>
      </c>
      <c r="U18" s="25" t="n">
        <v>0.0308</v>
      </c>
      <c r="V18" s="25" t="n"/>
      <c r="W18" s="27" t="n">
        <v>17</v>
      </c>
      <c r="X18" s="28" t="n"/>
      <c r="Y18" s="28" t="n"/>
      <c r="Z18" s="28" t="n"/>
      <c r="AA18" s="28" t="n">
        <v>0.1766</v>
      </c>
      <c r="AB18" s="29" t="n">
        <v>4.82</v>
      </c>
      <c r="AC18" s="28" t="n">
        <v>0.0372</v>
      </c>
      <c r="AD18" s="28" t="n">
        <v>0.0413</v>
      </c>
      <c r="AE18" s="28" t="n">
        <v>0.7929</v>
      </c>
      <c r="AF18" s="29" t="n">
        <v>6.67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Kaleb Johnson</t>
        </is>
      </c>
      <c r="C19" s="35" t="n">
        <v>4</v>
      </c>
      <c r="D19" s="35" t="inlineStr">
        <is>
          <t>23</t>
        </is>
      </c>
      <c r="E19" s="42" t="inlineStr">
        <is>
          <t>ACT</t>
        </is>
      </c>
      <c r="F19" s="24" t="inlineStr">
        <is>
          <t>PIT</t>
        </is>
      </c>
      <c r="G19" s="24" t="inlineStr">
        <is>
          <t>10</t>
        </is>
      </c>
      <c r="H19" s="25" t="n">
        <v>0.091</v>
      </c>
      <c r="I19" s="25" t="n"/>
      <c r="J19" s="25" t="n"/>
      <c r="K19" s="26" t="n"/>
      <c r="L19" s="25" t="n"/>
      <c r="M19" s="25" t="n">
        <v>0.0709</v>
      </c>
      <c r="N19" s="26" t="n">
        <v>2.46</v>
      </c>
      <c r="O19" s="25" t="n">
        <v>0.0519</v>
      </c>
      <c r="P19" s="25" t="n"/>
      <c r="Q19" s="25" t="n"/>
      <c r="R19" s="25" t="n">
        <v>0.0038</v>
      </c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0.0238</v>
      </c>
      <c r="AB19" s="29" t="n">
        <v>2.46</v>
      </c>
      <c r="AC19" s="28" t="n"/>
      <c r="AD19" s="28" t="n">
        <v>0.0073</v>
      </c>
      <c r="AE19" s="28" t="n">
        <v>0.5</v>
      </c>
      <c r="AF19" s="29" t="n">
        <v>7.13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Pierre Strong</t>
        </is>
      </c>
      <c r="C20" s="22" t="n">
        <v>5</v>
      </c>
      <c r="D20" s="22" t="inlineStr">
        <is>
          <t>27</t>
        </is>
      </c>
      <c r="E20" s="23" t="inlineStr">
        <is>
          <t>ACT</t>
        </is>
      </c>
      <c r="F20" s="24" t="inlineStr"/>
      <c r="G20" s="24" t="inlineStr"/>
      <c r="H20" s="25" t="n">
        <v>0.2</v>
      </c>
      <c r="I20" s="25" t="n"/>
      <c r="J20" s="25" t="n"/>
      <c r="K20" s="26" t="n"/>
      <c r="L20" s="25" t="n"/>
      <c r="M20" s="25" t="n"/>
      <c r="N20" s="26" t="n">
        <v>4.36</v>
      </c>
      <c r="O20" s="25" t="n"/>
      <c r="P20" s="25" t="n"/>
      <c r="Q20" s="25" t="n">
        <v>0.0347</v>
      </c>
      <c r="R20" s="25" t="n"/>
      <c r="S20" s="25" t="n">
        <v>0.636</v>
      </c>
      <c r="T20" s="26" t="n">
        <v>7.43</v>
      </c>
      <c r="U20" s="25" t="n"/>
      <c r="V20" s="25" t="n"/>
      <c r="W20" s="27" t="n">
        <v>17</v>
      </c>
      <c r="X20" s="28" t="n"/>
      <c r="Y20" s="28" t="n"/>
      <c r="Z20" s="28" t="n"/>
      <c r="AA20" s="28" t="n">
        <v>0.0663</v>
      </c>
      <c r="AB20" s="29" t="n">
        <v>4.48</v>
      </c>
      <c r="AC20" s="28" t="n">
        <v>0.057</v>
      </c>
      <c r="AD20" s="28" t="n">
        <v>0.0198</v>
      </c>
      <c r="AE20" s="28" t="n">
        <v>0.6313</v>
      </c>
      <c r="AF20" s="29" t="n">
        <v>7.95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inlineStr">
        <is>
          <t>Jaden Nixon</t>
        </is>
      </c>
      <c r="C21" s="35" t="n">
        <v>6</v>
      </c>
      <c r="D21" s="35" t="inlineStr"/>
      <c r="E21" s="42" t="inlineStr">
        <is>
          <t>ACT</t>
        </is>
      </c>
      <c r="F21" s="24" t="inlineStr"/>
      <c r="G21" s="24" t="inlineStr"/>
      <c r="H21" s="25" t="n"/>
      <c r="I21" s="25" t="n"/>
      <c r="J21" s="25" t="n"/>
      <c r="K21" s="26" t="n"/>
      <c r="L21" s="25" t="n"/>
      <c r="M21" s="25" t="n"/>
      <c r="N21" s="26" t="n"/>
      <c r="O21" s="25" t="n"/>
      <c r="P21" s="25" t="n"/>
      <c r="Q21" s="25" t="n"/>
      <c r="R21" s="25" t="n"/>
      <c r="S21" s="25" t="n"/>
      <c r="T21" s="26" t="n"/>
      <c r="U21" s="25" t="n"/>
      <c r="V21" s="25" t="n"/>
      <c r="W21" s="27" t="n">
        <v>17</v>
      </c>
      <c r="X21" s="28" t="n"/>
      <c r="Y21" s="28" t="n"/>
      <c r="Z21" s="28" t="n"/>
      <c r="AA21" s="28" t="n">
        <v>0.0035</v>
      </c>
      <c r="AB21" s="29" t="n">
        <v>4.13</v>
      </c>
      <c r="AC21" s="28" t="n"/>
      <c r="AD21" s="28" t="n">
        <v>0.0039</v>
      </c>
      <c r="AE21" s="28" t="n">
        <v>0.75</v>
      </c>
      <c r="AF21" s="29" t="n">
        <v>7.13</v>
      </c>
      <c r="AG21" s="28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Christian Watson</t>
        </is>
      </c>
      <c r="C23" s="35" t="n">
        <v>1</v>
      </c>
      <c r="D23" s="35" t="inlineStr">
        <is>
          <t>27</t>
        </is>
      </c>
      <c r="E23" s="42" t="inlineStr">
        <is>
          <t>ACT</t>
        </is>
      </c>
      <c r="F23" s="24" t="inlineStr">
        <is>
          <t>GB</t>
        </is>
      </c>
      <c r="G23" s="24" t="inlineStr">
        <is>
          <t>10</t>
        </is>
      </c>
      <c r="H23" s="25" t="n">
        <v>0.669</v>
      </c>
      <c r="I23" s="25" t="n"/>
      <c r="J23" s="25" t="n"/>
      <c r="K23" s="26" t="n"/>
      <c r="L23" s="25" t="n"/>
      <c r="M23" s="25" t="n">
        <v>0.0021</v>
      </c>
      <c r="N23" s="26" t="n"/>
      <c r="O23" s="25" t="n">
        <v>0.0112</v>
      </c>
      <c r="P23" s="25" t="n"/>
      <c r="Q23" s="25" t="n">
        <v>0.1142</v>
      </c>
      <c r="R23" s="25" t="n">
        <v>0.1196</v>
      </c>
      <c r="S23" s="25" t="n">
        <v>0.584</v>
      </c>
      <c r="T23" s="26" t="n">
        <v>18.64</v>
      </c>
      <c r="U23" s="25" t="n">
        <v>0.09229999999999999</v>
      </c>
      <c r="V23" s="25" t="n">
        <v>0.2308</v>
      </c>
      <c r="W23" s="27" t="n">
        <v>17</v>
      </c>
      <c r="X23" s="28" t="n"/>
      <c r="Y23" s="28" t="n"/>
      <c r="Z23" s="28" t="n"/>
      <c r="AA23" s="28" t="n">
        <v>0.0212</v>
      </c>
      <c r="AB23" s="29" t="n">
        <v>4.11</v>
      </c>
      <c r="AC23" s="28" t="n"/>
      <c r="AD23" s="28" t="n">
        <v>0.1647</v>
      </c>
      <c r="AE23" s="28" t="n">
        <v>0.5836</v>
      </c>
      <c r="AF23" s="29" t="n">
        <v>17.97</v>
      </c>
      <c r="AG23" s="28" t="n">
        <v>0.2076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Jayden Reed</t>
        </is>
      </c>
      <c r="C24" s="22" t="n">
        <v>2</v>
      </c>
      <c r="D24" s="22" t="inlineStr">
        <is>
          <t>26</t>
        </is>
      </c>
      <c r="E24" s="23" t="inlineStr">
        <is>
          <t>ACT</t>
        </is>
      </c>
      <c r="F24" s="24" t="inlineStr">
        <is>
          <t>GB</t>
        </is>
      </c>
      <c r="G24" s="24" t="inlineStr">
        <is>
          <t>7</t>
        </is>
      </c>
      <c r="H24" s="25" t="n">
        <v>0.508</v>
      </c>
      <c r="I24" s="25" t="n"/>
      <c r="J24" s="25" t="n"/>
      <c r="K24" s="26" t="n"/>
      <c r="L24" s="25" t="n"/>
      <c r="M24" s="25" t="n">
        <v>0.0063</v>
      </c>
      <c r="N24" s="26" t="n">
        <v>8.15</v>
      </c>
      <c r="O24" s="25" t="n"/>
      <c r="P24" s="25" t="n"/>
      <c r="Q24" s="25" t="n">
        <v>0.1616</v>
      </c>
      <c r="R24" s="25" t="n">
        <v>0.0478</v>
      </c>
      <c r="S24" s="25" t="n">
        <v>0.758</v>
      </c>
      <c r="T24" s="26" t="n">
        <v>13.33</v>
      </c>
      <c r="U24" s="25" t="n">
        <v>0.0462</v>
      </c>
      <c r="V24" s="25" t="n">
        <v>0.0385</v>
      </c>
      <c r="W24" s="27" t="n">
        <v>17</v>
      </c>
      <c r="X24" s="28" t="n"/>
      <c r="Y24" s="28" t="n"/>
      <c r="Z24" s="28" t="n"/>
      <c r="AA24" s="28" t="n">
        <v>0.0138</v>
      </c>
      <c r="AB24" s="29" t="n"/>
      <c r="AC24" s="28" t="n">
        <v>0.0887</v>
      </c>
      <c r="AD24" s="28" t="n">
        <v>0.152</v>
      </c>
      <c r="AE24" s="28" t="n">
        <v>0.7578</v>
      </c>
      <c r="AF24" s="29" t="n">
        <v>13.46</v>
      </c>
      <c r="AG24" s="28" t="n">
        <v>0.2296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Matthew Golden</t>
        </is>
      </c>
      <c r="C25" s="35" t="n">
        <v>3</v>
      </c>
      <c r="D25" s="35" t="inlineStr">
        <is>
          <t>23</t>
        </is>
      </c>
      <c r="E25" s="42" t="inlineStr">
        <is>
          <t>ACT</t>
        </is>
      </c>
      <c r="F25" s="24" t="inlineStr">
        <is>
          <t>GB</t>
        </is>
      </c>
      <c r="G25" s="24" t="inlineStr">
        <is>
          <t>14</t>
        </is>
      </c>
      <c r="H25" s="25" t="n">
        <v>0.532</v>
      </c>
      <c r="I25" s="25" t="n"/>
      <c r="J25" s="25" t="n"/>
      <c r="K25" s="26" t="n"/>
      <c r="L25" s="25" t="n"/>
      <c r="M25" s="25" t="n">
        <v>0.0211</v>
      </c>
      <c r="N25" s="26" t="n"/>
      <c r="O25" s="25" t="n">
        <v>0.0225</v>
      </c>
      <c r="P25" s="25" t="n"/>
      <c r="Q25" s="25" t="n"/>
      <c r="R25" s="25" t="n">
        <v>0.09569999999999999</v>
      </c>
      <c r="S25" s="25" t="n">
        <v>0.659</v>
      </c>
      <c r="T25" s="26" t="n">
        <v>12.45</v>
      </c>
      <c r="U25" s="25" t="n">
        <v>0.0308</v>
      </c>
      <c r="V25" s="25" t="n"/>
      <c r="W25" s="27" t="n">
        <v>17</v>
      </c>
      <c r="X25" s="28" t="n"/>
      <c r="Y25" s="28" t="n"/>
      <c r="Z25" s="28" t="n"/>
      <c r="AA25" s="28" t="n">
        <v>0.0121</v>
      </c>
      <c r="AB25" s="29" t="n">
        <v>4.9</v>
      </c>
      <c r="AC25" s="28" t="n"/>
      <c r="AD25" s="28" t="n">
        <v>0.1116</v>
      </c>
      <c r="AE25" s="28" t="n">
        <v>0.6591</v>
      </c>
      <c r="AF25" s="29" t="n">
        <v>12.45</v>
      </c>
      <c r="AG25" s="28" t="n"/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Bo Melton</t>
        </is>
      </c>
      <c r="C26" s="22" t="n">
        <v>4</v>
      </c>
      <c r="D26" s="22" t="inlineStr">
        <is>
          <t>27</t>
        </is>
      </c>
      <c r="E26" s="23" t="inlineStr">
        <is>
          <t>ACT</t>
        </is>
      </c>
      <c r="F26" s="24" t="inlineStr">
        <is>
          <t>GB</t>
        </is>
      </c>
      <c r="G26" s="24" t="inlineStr">
        <is>
          <t>16</t>
        </is>
      </c>
      <c r="H26" s="25" t="n">
        <v>0.218</v>
      </c>
      <c r="I26" s="25" t="n"/>
      <c r="J26" s="25" t="n"/>
      <c r="K26" s="26" t="n"/>
      <c r="L26" s="25" t="n"/>
      <c r="M26" s="25" t="n">
        <v>0.0105</v>
      </c>
      <c r="N26" s="26" t="n"/>
      <c r="O26" s="25" t="n"/>
      <c r="P26" s="25" t="n"/>
      <c r="Q26" s="25" t="n">
        <v>0.0366</v>
      </c>
      <c r="R26" s="25" t="n">
        <v>0.0283</v>
      </c>
      <c r="S26" s="25" t="n">
        <v>0.503</v>
      </c>
      <c r="T26" s="26" t="n">
        <v>13.62</v>
      </c>
      <c r="U26" s="25" t="n"/>
      <c r="V26" s="25" t="n">
        <v>0.0385</v>
      </c>
      <c r="W26" s="27" t="n">
        <v>17</v>
      </c>
      <c r="X26" s="28" t="n"/>
      <c r="Y26" s="28" t="n"/>
      <c r="Z26" s="28" t="n"/>
      <c r="AA26" s="28" t="n">
        <v>0.0039</v>
      </c>
      <c r="AB26" s="29" t="n">
        <v>6.88</v>
      </c>
      <c r="AC26" s="28" t="n"/>
      <c r="AD26" s="28" t="n">
        <v>0.0362</v>
      </c>
      <c r="AE26" s="28" t="n">
        <v>0.3921</v>
      </c>
      <c r="AF26" s="29" t="n">
        <v>14.86</v>
      </c>
      <c r="AG26" s="28" t="n">
        <v>0.0504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Skyy Moore</t>
        </is>
      </c>
      <c r="C27" s="35" t="n">
        <v>5</v>
      </c>
      <c r="D27" s="35" t="inlineStr">
        <is>
          <t>25</t>
        </is>
      </c>
      <c r="E27" s="42" t="inlineStr">
        <is>
          <t>ACT</t>
        </is>
      </c>
      <c r="F27" s="24" t="inlineStr">
        <is>
          <t>SF</t>
        </is>
      </c>
      <c r="G27" s="24" t="inlineStr">
        <is>
          <t>17</t>
        </is>
      </c>
      <c r="H27" s="25" t="n">
        <v>0.227</v>
      </c>
      <c r="I27" s="25" t="n"/>
      <c r="J27" s="25" t="n"/>
      <c r="K27" s="26" t="n"/>
      <c r="L27" s="25" t="n"/>
      <c r="M27" s="25" t="n">
        <v>0.0043</v>
      </c>
      <c r="N27" s="26" t="n"/>
      <c r="O27" s="25" t="n"/>
      <c r="P27" s="25" t="n"/>
      <c r="Q27" s="25" t="n">
        <v>0.0052</v>
      </c>
      <c r="R27" s="25" t="n">
        <v>0.0127</v>
      </c>
      <c r="S27" s="25" t="n">
        <v>0.553</v>
      </c>
      <c r="T27" s="26" t="n">
        <v>11.62</v>
      </c>
      <c r="U27" s="25" t="n"/>
      <c r="V27" s="25" t="n"/>
      <c r="W27" s="27" t="n">
        <v>17</v>
      </c>
      <c r="X27" s="28" t="n"/>
      <c r="Y27" s="28" t="n"/>
      <c r="Z27" s="28" t="n"/>
      <c r="AA27" s="28" t="n">
        <v>0.0022</v>
      </c>
      <c r="AB27" s="29" t="n">
        <v>6.8</v>
      </c>
      <c r="AC27" s="28" t="n"/>
      <c r="AD27" s="28" t="n">
        <v>0.0253</v>
      </c>
      <c r="AE27" s="28" t="n">
        <v>0.6742</v>
      </c>
      <c r="AF27" s="29" t="n">
        <v>12.73</v>
      </c>
      <c r="AG27" s="28" t="n">
        <v>0.0477</v>
      </c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J. Michael Sturdivant</t>
        </is>
      </c>
      <c r="C28" s="22" t="n">
        <v>6</v>
      </c>
      <c r="D28" s="22" t="inlineStr">
        <is>
          <t>23</t>
        </is>
      </c>
      <c r="E28" s="23" t="inlineStr">
        <is>
          <t>ACT</t>
        </is>
      </c>
      <c r="F28" s="24" t="inlineStr"/>
      <c r="G28" s="24" t="inlineStr"/>
      <c r="H28" s="25" t="n"/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/>
      <c r="R28" s="25" t="n"/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0.0022</v>
      </c>
      <c r="AB28" s="29" t="n"/>
      <c r="AC28" s="28" t="n"/>
      <c r="AD28" s="28" t="n">
        <v>0.025</v>
      </c>
      <c r="AE28" s="28" t="n">
        <v>0.65</v>
      </c>
      <c r="AF28" s="29" t="n">
        <v>12.84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Kaden Prather</t>
        </is>
      </c>
      <c r="C29" s="35" t="n">
        <v>7</v>
      </c>
      <c r="D29" s="35" t="inlineStr">
        <is>
          <t>23</t>
        </is>
      </c>
      <c r="E29" s="42" t="inlineStr">
        <is>
          <t>ACT</t>
        </is>
      </c>
      <c r="F29" s="24" t="inlineStr"/>
      <c r="G29" s="24" t="inlineStr"/>
      <c r="H29" s="25" t="n"/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/>
      <c r="R29" s="25" t="n"/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0.0022</v>
      </c>
      <c r="AB29" s="29" t="n"/>
      <c r="AC29" s="28" t="n"/>
      <c r="AD29" s="28" t="n">
        <v>0.0113</v>
      </c>
      <c r="AE29" s="28" t="n">
        <v>0.65</v>
      </c>
      <c r="AF29" s="29" t="n">
        <v>12.84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Chris Hilton</t>
        </is>
      </c>
      <c r="C30" s="22" t="n">
        <v>8</v>
      </c>
      <c r="D30" s="22" t="inlineStr">
        <is>
          <t>23</t>
        </is>
      </c>
      <c r="E30" s="23" t="inlineStr">
        <is>
          <t>ACT</t>
        </is>
      </c>
      <c r="F30" s="24" t="inlineStr"/>
      <c r="G30" s="24" t="inlineStr"/>
      <c r="H30" s="25" t="n"/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/>
      <c r="R30" s="25" t="n"/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0.0022</v>
      </c>
      <c r="AB30" s="29" t="n"/>
      <c r="AC30" s="28" t="n"/>
      <c r="AD30" s="28" t="n">
        <v>0.0111</v>
      </c>
      <c r="AE30" s="28" t="n">
        <v>0.65</v>
      </c>
      <c r="AF30" s="29" t="n">
        <v>12.84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Tucker Kraft</t>
        </is>
      </c>
      <c r="C32" s="22" t="n">
        <v>1</v>
      </c>
      <c r="D32" s="22" t="inlineStr">
        <is>
          <t>25</t>
        </is>
      </c>
      <c r="E32" s="41" t="inlineStr">
        <is>
          <t>QUESTIONABLE</t>
        </is>
      </c>
      <c r="F32" s="24" t="inlineStr">
        <is>
          <t>GB</t>
        </is>
      </c>
      <c r="G32" s="24" t="inlineStr">
        <is>
          <t>8</t>
        </is>
      </c>
      <c r="H32" s="25" t="n">
        <v>0.8</v>
      </c>
      <c r="I32" s="25" t="n"/>
      <c r="J32" s="25" t="n"/>
      <c r="K32" s="26" t="n"/>
      <c r="L32" s="25" t="n"/>
      <c r="M32" s="25" t="n">
        <v>0.0021</v>
      </c>
      <c r="N32" s="26" t="n"/>
      <c r="O32" s="25" t="n"/>
      <c r="P32" s="25" t="n"/>
      <c r="Q32" s="25" t="n">
        <v>0.1509</v>
      </c>
      <c r="R32" s="25" t="n">
        <v>0.09569999999999999</v>
      </c>
      <c r="S32" s="25" t="n">
        <v>0.735</v>
      </c>
      <c r="T32" s="26" t="n">
        <v>13.77</v>
      </c>
      <c r="U32" s="25" t="n">
        <v>0.1846</v>
      </c>
      <c r="V32" s="25" t="n">
        <v>0.2308</v>
      </c>
      <c r="W32" s="27" t="n">
        <v>17</v>
      </c>
      <c r="X32" s="28" t="n"/>
      <c r="Y32" s="28" t="n"/>
      <c r="Z32" s="28" t="n"/>
      <c r="AA32" s="28" t="n">
        <v>0.0039</v>
      </c>
      <c r="AB32" s="29" t="n">
        <v>2.25</v>
      </c>
      <c r="AC32" s="28" t="n"/>
      <c r="AD32" s="28" t="n">
        <v>0.1321</v>
      </c>
      <c r="AE32" s="28" t="n">
        <v>0.735</v>
      </c>
      <c r="AF32" s="29" t="n">
        <v>13.73</v>
      </c>
      <c r="AG32" s="28" t="n">
        <v>0.2576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Jonnu Smith</t>
        </is>
      </c>
      <c r="C33" s="35" t="n">
        <v>2</v>
      </c>
      <c r="D33" s="35" t="inlineStr">
        <is>
          <t>31</t>
        </is>
      </c>
      <c r="E33" s="42" t="inlineStr">
        <is>
          <t>ACT</t>
        </is>
      </c>
      <c r="F33" s="24" t="inlineStr">
        <is>
          <t>PIT</t>
        </is>
      </c>
      <c r="G33" s="24" t="inlineStr">
        <is>
          <t>17</t>
        </is>
      </c>
      <c r="H33" s="25" t="n">
        <v>0.543</v>
      </c>
      <c r="I33" s="25" t="n"/>
      <c r="J33" s="25" t="n"/>
      <c r="K33" s="26" t="n"/>
      <c r="L33" s="25" t="n"/>
      <c r="M33" s="25" t="n">
        <v>0.0228</v>
      </c>
      <c r="N33" s="26" t="n"/>
      <c r="O33" s="25" t="n">
        <v>0.026</v>
      </c>
      <c r="P33" s="25" t="n">
        <v>0.0625</v>
      </c>
      <c r="Q33" s="25" t="n">
        <v>0.1954</v>
      </c>
      <c r="R33" s="25" t="n">
        <v>0.1034</v>
      </c>
      <c r="S33" s="25" t="n">
        <v>0.733</v>
      </c>
      <c r="T33" s="26" t="n">
        <v>8.26</v>
      </c>
      <c r="U33" s="25" t="n">
        <v>0.0959</v>
      </c>
      <c r="V33" s="25" t="n">
        <v>0.0769</v>
      </c>
      <c r="W33" s="27" t="n">
        <v>17</v>
      </c>
      <c r="X33" s="28" t="n"/>
      <c r="Y33" s="28" t="n"/>
      <c r="Z33" s="28" t="n"/>
      <c r="AA33" s="28" t="n">
        <v>0.0025</v>
      </c>
      <c r="AB33" s="29" t="n"/>
      <c r="AC33" s="28" t="n">
        <v>0.0507</v>
      </c>
      <c r="AD33" s="28" t="n">
        <v>0.0555</v>
      </c>
      <c r="AE33" s="28" t="n">
        <v>0.7325</v>
      </c>
      <c r="AF33" s="29" t="n">
        <v>8.26</v>
      </c>
      <c r="AG33" s="28" t="n">
        <v>0.2164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Luke Musgrave</t>
        </is>
      </c>
      <c r="C34" s="22" t="n">
        <v>3</v>
      </c>
      <c r="D34" s="22" t="inlineStr">
        <is>
          <t>25</t>
        </is>
      </c>
      <c r="E34" s="41" t="inlineStr">
        <is>
          <t>PUP</t>
        </is>
      </c>
      <c r="F34" s="24" t="inlineStr">
        <is>
          <t>GB</t>
        </is>
      </c>
      <c r="G34" s="24" t="inlineStr">
        <is>
          <t>17</t>
        </is>
      </c>
      <c r="H34" s="25" t="n">
        <v>0.423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0.0216</v>
      </c>
      <c r="R34" s="25" t="n">
        <v>0.0674</v>
      </c>
      <c r="S34" s="25" t="n">
        <v>0.767</v>
      </c>
      <c r="T34" s="26" t="n">
        <v>10.47</v>
      </c>
      <c r="U34" s="25" t="n">
        <v>0.0154</v>
      </c>
      <c r="V34" s="25" t="n"/>
      <c r="W34" s="27" t="n">
        <v>17</v>
      </c>
      <c r="X34" s="28" t="n"/>
      <c r="Y34" s="28" t="n"/>
      <c r="Z34" s="28" t="n"/>
      <c r="AA34" s="28" t="n">
        <v>0.0009</v>
      </c>
      <c r="AB34" s="29" t="n"/>
      <c r="AC34" s="28" t="n"/>
      <c r="AD34" s="28" t="n">
        <v>0.06419999999999999</v>
      </c>
      <c r="AE34" s="28" t="n">
        <v>0.756</v>
      </c>
      <c r="AF34" s="29" t="n">
        <v>9.98</v>
      </c>
      <c r="AG34" s="28" t="n">
        <v>0.0417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Mark Redman</t>
        </is>
      </c>
      <c r="C35" s="35" t="n">
        <v>4</v>
      </c>
      <c r="D35" s="35" t="inlineStr">
        <is>
          <t>24</t>
        </is>
      </c>
      <c r="E35" s="42" t="inlineStr">
        <is>
          <t>ACT</t>
        </is>
      </c>
      <c r="F35" s="24" t="inlineStr"/>
      <c r="G35" s="24" t="inlineStr"/>
      <c r="H35" s="25" t="n"/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0.0025</v>
      </c>
      <c r="AB35" s="29" t="n"/>
      <c r="AC35" s="28" t="n"/>
      <c r="AD35" s="28" t="n">
        <v>0.0086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HOU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1068</v>
      </c>
      <c r="D4" s="10">
        <f>$C$4/$B$4</f>
        <v/>
      </c>
      <c r="E4" s="11" t="n">
        <v>0.5734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1088</v>
      </c>
      <c r="M4" s="14" t="n">
        <v>64</v>
      </c>
      <c r="N4" s="15" t="n">
        <v>0.5634</v>
      </c>
      <c r="O4" s="13" t="n">
        <v>582</v>
      </c>
      <c r="P4" s="13" t="n">
        <v>475</v>
      </c>
      <c r="Q4" s="16" t="n">
        <v>6.7973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40.1</v>
      </c>
      <c r="C7" s="11" t="n">
        <v>0.3514</v>
      </c>
      <c r="D7" s="10">
        <f>$B$7*$C$7</f>
        <v/>
      </c>
      <c r="E7" s="10">
        <f>$B$7-$D$7</f>
        <v/>
      </c>
      <c r="F7" s="12" t="n">
        <v>4022</v>
      </c>
      <c r="G7" s="12" t="n">
        <v>1875</v>
      </c>
      <c r="H7" s="12">
        <f>$F$7</f>
        <v/>
      </c>
      <c r="L7" s="13" t="n">
        <v>3956</v>
      </c>
      <c r="M7" s="13" t="n">
        <v>1852</v>
      </c>
      <c r="N7" s="14" t="n">
        <v>24</v>
      </c>
      <c r="O7" s="14" t="n">
        <v>9</v>
      </c>
      <c r="P7" s="14" t="n">
        <v>33</v>
      </c>
      <c r="Q7" s="15" t="n">
        <v>0.2727272727272727</v>
      </c>
    </row>
    <row r="8"/>
    <row r="9">
      <c r="A9" s="5" t="inlineStr">
        <is>
          <t>NOTES</t>
        </is>
      </c>
      <c r="B9" s="18" t="inlineStr">
        <is>
          <t>31% of targets and 38% of carries left this roster.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C.J. Stroud</t>
        </is>
      </c>
      <c r="C12" s="22" t="n">
        <v>1</v>
      </c>
      <c r="D12" s="22" t="inlineStr">
        <is>
          <t>24</t>
        </is>
      </c>
      <c r="E12" s="23" t="inlineStr">
        <is>
          <t>ACT</t>
        </is>
      </c>
      <c r="F12" s="24" t="inlineStr">
        <is>
          <t>HOU</t>
        </is>
      </c>
      <c r="G12" s="24" t="inlineStr">
        <is>
          <t>14</t>
        </is>
      </c>
      <c r="H12" s="25" t="n">
        <v>0.9320000000000001</v>
      </c>
      <c r="I12" s="25" t="n">
        <v>0.7268</v>
      </c>
      <c r="J12" s="25" t="n">
        <v>0.64</v>
      </c>
      <c r="K12" s="26" t="n">
        <v>7.33</v>
      </c>
      <c r="L12" s="25" t="n">
        <v>0.018</v>
      </c>
      <c r="M12" s="25" t="n">
        <v>0.0823</v>
      </c>
      <c r="N12" s="26" t="n">
        <v>5.47</v>
      </c>
      <c r="O12" s="25" t="n">
        <v>0.1096</v>
      </c>
      <c r="P12" s="25" t="n">
        <v>0.1111</v>
      </c>
      <c r="Q12" s="25" t="n">
        <v>0.0018</v>
      </c>
      <c r="R12" s="25" t="n"/>
      <c r="S12" s="25" t="n"/>
      <c r="T12" s="26" t="n"/>
      <c r="U12" s="25" t="n"/>
      <c r="V12" s="25" t="n"/>
      <c r="W12" s="27" t="n">
        <v>17</v>
      </c>
      <c r="X12" s="28" t="n">
        <v>0.7538</v>
      </c>
      <c r="Y12" s="28" t="n">
        <v>0.64</v>
      </c>
      <c r="Z12" s="28" t="n">
        <v>0.018</v>
      </c>
      <c r="AA12" s="28" t="n">
        <v>0.07920000000000001</v>
      </c>
      <c r="AB12" s="29" t="n">
        <v>5.39</v>
      </c>
      <c r="AC12" s="28" t="n">
        <v>0.1645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Davis Mills</t>
        </is>
      </c>
      <c r="C13" s="35" t="n">
        <v>2</v>
      </c>
      <c r="D13" s="35" t="inlineStr">
        <is>
          <t>27</t>
        </is>
      </c>
      <c r="E13" s="42" t="inlineStr">
        <is>
          <t>ACT</t>
        </is>
      </c>
      <c r="F13" s="24" t="inlineStr">
        <is>
          <t>HOU</t>
        </is>
      </c>
      <c r="G13" s="24" t="inlineStr">
        <is>
          <t>6</t>
        </is>
      </c>
      <c r="H13" s="25" t="n">
        <v>0.467</v>
      </c>
      <c r="I13" s="25" t="n">
        <v>0.2732</v>
      </c>
      <c r="J13" s="25" t="n">
        <v>0.544</v>
      </c>
      <c r="K13" s="26" t="n">
        <v>5.49</v>
      </c>
      <c r="L13" s="25" t="n">
        <v>0.003</v>
      </c>
      <c r="M13" s="25" t="n">
        <v>0.0216</v>
      </c>
      <c r="N13" s="26" t="n"/>
      <c r="O13" s="25" t="n">
        <v>0.0274</v>
      </c>
      <c r="P13" s="25" t="n">
        <v>0.1111</v>
      </c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0.166</v>
      </c>
      <c r="Y13" s="28" t="n">
        <v>0.544</v>
      </c>
      <c r="Z13" s="28" t="n">
        <v>0.003</v>
      </c>
      <c r="AA13" s="28" t="n">
        <v>0.0128</v>
      </c>
      <c r="AB13" s="29" t="n">
        <v>5.71</v>
      </c>
      <c r="AC13" s="28" t="n">
        <v>0.1089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40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David Montgomery</t>
        </is>
      </c>
      <c r="C16" s="22" t="n">
        <v>1</v>
      </c>
      <c r="D16" s="22" t="inlineStr">
        <is>
          <t>29</t>
        </is>
      </c>
      <c r="E16" s="23" t="inlineStr">
        <is>
          <t>ACT</t>
        </is>
      </c>
      <c r="F16" s="24" t="inlineStr">
        <is>
          <t>DET</t>
        </is>
      </c>
      <c r="G16" s="24" t="inlineStr">
        <is>
          <t>17</t>
        </is>
      </c>
      <c r="H16" s="25" t="n">
        <v>0.408</v>
      </c>
      <c r="I16" s="25" t="n">
        <v>0.0034</v>
      </c>
      <c r="J16" s="25" t="n"/>
      <c r="K16" s="26" t="n"/>
      <c r="L16" s="25" t="n"/>
      <c r="M16" s="25" t="n">
        <v>0.3666</v>
      </c>
      <c r="N16" s="26" t="n">
        <v>4.46</v>
      </c>
      <c r="O16" s="25" t="n">
        <v>0.3708</v>
      </c>
      <c r="P16" s="25" t="n">
        <v>0.381</v>
      </c>
      <c r="Q16" s="25" t="n">
        <v>0.0728</v>
      </c>
      <c r="R16" s="25" t="n">
        <v>0.0527</v>
      </c>
      <c r="S16" s="25" t="n">
        <v>0.831</v>
      </c>
      <c r="T16" s="26" t="n">
        <v>8.27</v>
      </c>
      <c r="U16" s="25" t="n">
        <v>0.0244</v>
      </c>
      <c r="V16" s="25" t="n"/>
      <c r="W16" s="27" t="n">
        <v>17</v>
      </c>
      <c r="X16" s="28" t="n"/>
      <c r="Y16" s="28" t="n"/>
      <c r="Z16" s="28" t="n"/>
      <c r="AA16" s="28" t="n">
        <v>0.4591</v>
      </c>
      <c r="AB16" s="29" t="n">
        <v>4.46</v>
      </c>
      <c r="AC16" s="28" t="n">
        <v>0.3999</v>
      </c>
      <c r="AD16" s="28" t="n">
        <v>0.0815</v>
      </c>
      <c r="AE16" s="28" t="n">
        <v>0.831</v>
      </c>
      <c r="AF16" s="29" t="n">
        <v>8.550000000000001</v>
      </c>
      <c r="AG16" s="28" t="n"/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Woody Marks</t>
        </is>
      </c>
      <c r="C17" s="35" t="n">
        <v>2</v>
      </c>
      <c r="D17" s="35" t="inlineStr">
        <is>
          <t>25</t>
        </is>
      </c>
      <c r="E17" s="42" t="inlineStr">
        <is>
          <t>ACT</t>
        </is>
      </c>
      <c r="F17" s="24" t="inlineStr">
        <is>
          <t>HOU</t>
        </is>
      </c>
      <c r="G17" s="24" t="inlineStr">
        <is>
          <t>16</t>
        </is>
      </c>
      <c r="H17" s="25" t="n">
        <v>0.515</v>
      </c>
      <c r="I17" s="25" t="n"/>
      <c r="J17" s="25" t="n"/>
      <c r="K17" s="26" t="n"/>
      <c r="L17" s="25" t="n"/>
      <c r="M17" s="25" t="n">
        <v>0.4242</v>
      </c>
      <c r="N17" s="26" t="n">
        <v>3.59</v>
      </c>
      <c r="O17" s="25" t="n">
        <v>0.4384</v>
      </c>
      <c r="P17" s="25" t="n">
        <v>0.2222</v>
      </c>
      <c r="Q17" s="25" t="n"/>
      <c r="R17" s="25" t="n">
        <v>0.06510000000000001</v>
      </c>
      <c r="S17" s="25" t="n">
        <v>0.667</v>
      </c>
      <c r="T17" s="26" t="n">
        <v>8.67</v>
      </c>
      <c r="U17" s="25" t="n">
        <v>0.1176</v>
      </c>
      <c r="V17" s="25" t="n">
        <v>0.125</v>
      </c>
      <c r="W17" s="27" t="n">
        <v>17</v>
      </c>
      <c r="X17" s="28" t="n"/>
      <c r="Y17" s="28" t="n"/>
      <c r="Z17" s="28" t="n"/>
      <c r="AA17" s="28" t="n">
        <v>0.2743</v>
      </c>
      <c r="AB17" s="29" t="n">
        <v>3.59</v>
      </c>
      <c r="AC17" s="28" t="n">
        <v>0.2178</v>
      </c>
      <c r="AD17" s="28" t="n">
        <v>0.0526</v>
      </c>
      <c r="AE17" s="28" t="n">
        <v>0.6667</v>
      </c>
      <c r="AF17" s="29" t="n">
        <v>8.67</v>
      </c>
      <c r="AG17" s="28" t="n">
        <v>0.08409999999999999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British Brooks</t>
        </is>
      </c>
      <c r="C18" s="22" t="n">
        <v>3</v>
      </c>
      <c r="D18" s="22" t="inlineStr">
        <is>
          <t>26</t>
        </is>
      </c>
      <c r="E18" s="41" t="inlineStr">
        <is>
          <t>QUESTIONABLE</t>
        </is>
      </c>
      <c r="F18" s="24" t="inlineStr">
        <is>
          <t>HOU</t>
        </is>
      </c>
      <c r="G18" s="24" t="inlineStr">
        <is>
          <t>15</t>
        </is>
      </c>
      <c r="H18" s="25" t="n">
        <v>0.075</v>
      </c>
      <c r="I18" s="25" t="n"/>
      <c r="J18" s="25" t="n"/>
      <c r="K18" s="26" t="n"/>
      <c r="L18" s="25" t="n"/>
      <c r="M18" s="25" t="n">
        <v>0.0368</v>
      </c>
      <c r="N18" s="26" t="n"/>
      <c r="O18" s="25" t="n">
        <v>0.0274</v>
      </c>
      <c r="P18" s="25" t="n"/>
      <c r="Q18" s="25" t="n"/>
      <c r="R18" s="25" t="n"/>
      <c r="S18" s="25" t="n"/>
      <c r="T18" s="26" t="n"/>
      <c r="U18" s="25" t="n"/>
      <c r="V18" s="25" t="n"/>
      <c r="W18" s="27" t="n">
        <v>17</v>
      </c>
      <c r="X18" s="28" t="n"/>
      <c r="Y18" s="28" t="n"/>
      <c r="Z18" s="28" t="n"/>
      <c r="AA18" s="28" t="n">
        <v>0.0255</v>
      </c>
      <c r="AB18" s="29" t="n">
        <v>4.44</v>
      </c>
      <c r="AC18" s="28" t="n"/>
      <c r="AD18" s="28" t="n">
        <v>0.0036</v>
      </c>
      <c r="AE18" s="28" t="n">
        <v>0.774</v>
      </c>
      <c r="AF18" s="29" t="n">
        <v>7.13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n"/>
      <c r="C19" s="34" t="n"/>
      <c r="D19" s="34" t="n"/>
      <c r="E19" s="34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40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Nico Collins</t>
        </is>
      </c>
      <c r="C23" s="35" t="n">
        <v>1</v>
      </c>
      <c r="D23" s="35" t="inlineStr">
        <is>
          <t>27</t>
        </is>
      </c>
      <c r="E23" s="42" t="inlineStr">
        <is>
          <t>ACT</t>
        </is>
      </c>
      <c r="F23" s="24" t="inlineStr">
        <is>
          <t>HOU</t>
        </is>
      </c>
      <c r="G23" s="24" t="inlineStr">
        <is>
          <t>15</t>
        </is>
      </c>
      <c r="H23" s="25" t="n">
        <v>0.721</v>
      </c>
      <c r="I23" s="25" t="n"/>
      <c r="J23" s="25" t="n"/>
      <c r="K23" s="26" t="n"/>
      <c r="L23" s="25" t="n"/>
      <c r="M23" s="25" t="n">
        <v>0.0043</v>
      </c>
      <c r="N23" s="26" t="n"/>
      <c r="O23" s="25" t="n">
        <v>0.0137</v>
      </c>
      <c r="P23" s="25" t="n">
        <v>0.1111</v>
      </c>
      <c r="Q23" s="25" t="n">
        <v>0.181</v>
      </c>
      <c r="R23" s="25" t="n">
        <v>0.217</v>
      </c>
      <c r="S23" s="25" t="n">
        <v>0.646</v>
      </c>
      <c r="T23" s="26" t="n">
        <v>15.59</v>
      </c>
      <c r="U23" s="25" t="n">
        <v>0.2353</v>
      </c>
      <c r="V23" s="25" t="n">
        <v>0.25</v>
      </c>
      <c r="W23" s="27" t="n">
        <v>17</v>
      </c>
      <c r="X23" s="28" t="n"/>
      <c r="Y23" s="28" t="n"/>
      <c r="Z23" s="28" t="n"/>
      <c r="AA23" s="28" t="n">
        <v>0.0148</v>
      </c>
      <c r="AB23" s="29" t="n"/>
      <c r="AC23" s="28" t="n">
        <v>0.1089</v>
      </c>
      <c r="AD23" s="28" t="n">
        <v>0.1945</v>
      </c>
      <c r="AE23" s="28" t="n">
        <v>0.6462</v>
      </c>
      <c r="AF23" s="29" t="n">
        <v>15.62</v>
      </c>
      <c r="AG23" s="28" t="n">
        <v>0.192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Jaylin Noel</t>
        </is>
      </c>
      <c r="C24" s="22" t="n">
        <v>2</v>
      </c>
      <c r="D24" s="22" t="inlineStr">
        <is>
          <t>23</t>
        </is>
      </c>
      <c r="E24" s="41" t="inlineStr">
        <is>
          <t>QUESTIONABLE</t>
        </is>
      </c>
      <c r="F24" s="24" t="inlineStr">
        <is>
          <t>HOU</t>
        </is>
      </c>
      <c r="G24" s="24" t="inlineStr">
        <is>
          <t>17</t>
        </is>
      </c>
      <c r="H24" s="25" t="n">
        <v>0.26</v>
      </c>
      <c r="I24" s="25" t="n"/>
      <c r="J24" s="25" t="n"/>
      <c r="K24" s="26" t="n"/>
      <c r="L24" s="25" t="n"/>
      <c r="M24" s="25" t="n">
        <v>0.013</v>
      </c>
      <c r="N24" s="26" t="n"/>
      <c r="O24" s="25" t="n"/>
      <c r="P24" s="25" t="n"/>
      <c r="Q24" s="25" t="n"/>
      <c r="R24" s="25" t="n">
        <v>0.0633</v>
      </c>
      <c r="S24" s="25" t="n">
        <v>0.743</v>
      </c>
      <c r="T24" s="26" t="n">
        <v>11.23</v>
      </c>
      <c r="U24" s="25" t="n">
        <v>0.0735</v>
      </c>
      <c r="V24" s="25" t="n">
        <v>0.0833</v>
      </c>
      <c r="W24" s="27" t="n">
        <v>17</v>
      </c>
      <c r="X24" s="28" t="n"/>
      <c r="Y24" s="28" t="n"/>
      <c r="Z24" s="28" t="n"/>
      <c r="AA24" s="28" t="n">
        <v>0.0036</v>
      </c>
      <c r="AB24" s="29" t="n">
        <v>2</v>
      </c>
      <c r="AC24" s="28" t="n"/>
      <c r="AD24" s="28" t="n">
        <v>0.0614</v>
      </c>
      <c r="AE24" s="28" t="n">
        <v>0.7429</v>
      </c>
      <c r="AF24" s="29" t="n">
        <v>11.23</v>
      </c>
      <c r="AG24" s="28" t="n">
        <v>0.056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Kayshon Boutte</t>
        </is>
      </c>
      <c r="C25" s="35" t="n">
        <v>3</v>
      </c>
      <c r="D25" s="35" t="inlineStr">
        <is>
          <t>24</t>
        </is>
      </c>
      <c r="E25" s="42" t="inlineStr">
        <is>
          <t>ACT</t>
        </is>
      </c>
      <c r="F25" s="24" t="inlineStr">
        <is>
          <t>NE</t>
        </is>
      </c>
      <c r="G25" s="24" t="inlineStr">
        <is>
          <t>14</t>
        </is>
      </c>
      <c r="H25" s="25" t="n">
        <v>0.638</v>
      </c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>
        <v>0.136</v>
      </c>
      <c r="R25" s="25" t="n">
        <v>0.0954</v>
      </c>
      <c r="S25" s="25" t="n">
        <v>0.6840000000000001</v>
      </c>
      <c r="T25" s="26" t="n">
        <v>15.52</v>
      </c>
      <c r="U25" s="25" t="n">
        <v>0.0615</v>
      </c>
      <c r="V25" s="25" t="n">
        <v>0.1935</v>
      </c>
      <c r="W25" s="27" t="n">
        <v>17</v>
      </c>
      <c r="X25" s="28" t="n"/>
      <c r="Y25" s="28" t="n"/>
      <c r="Z25" s="28" t="n"/>
      <c r="AA25" s="28" t="n">
        <v>0.0021</v>
      </c>
      <c r="AB25" s="29" t="n"/>
      <c r="AC25" s="28" t="n"/>
      <c r="AD25" s="28" t="n">
        <v>0.06710000000000001</v>
      </c>
      <c r="AE25" s="28" t="n">
        <v>0.6522</v>
      </c>
      <c r="AF25" s="29" t="n">
        <v>15.52</v>
      </c>
      <c r="AG25" s="28" t="n">
        <v>0.1289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Xavier Hutchinson</t>
        </is>
      </c>
      <c r="C26" s="22" t="n">
        <v>4</v>
      </c>
      <c r="D26" s="22" t="inlineStr">
        <is>
          <t>26</t>
        </is>
      </c>
      <c r="E26" s="23" t="inlineStr">
        <is>
          <t>ACT</t>
        </is>
      </c>
      <c r="F26" s="24" t="inlineStr">
        <is>
          <t>HOU</t>
        </is>
      </c>
      <c r="G26" s="24" t="inlineStr">
        <is>
          <t>17</t>
        </is>
      </c>
      <c r="H26" s="25" t="n">
        <v>0.489</v>
      </c>
      <c r="I26" s="25" t="n"/>
      <c r="J26" s="25" t="n"/>
      <c r="K26" s="26" t="n"/>
      <c r="L26" s="25" t="n"/>
      <c r="M26" s="25" t="n">
        <v>0.0065</v>
      </c>
      <c r="N26" s="26" t="n"/>
      <c r="O26" s="25" t="n">
        <v>0.0137</v>
      </c>
      <c r="P26" s="25" t="n"/>
      <c r="Q26" s="25" t="n">
        <v>0.0475</v>
      </c>
      <c r="R26" s="25" t="n">
        <v>0.1031</v>
      </c>
      <c r="S26" s="25" t="n">
        <v>0.532</v>
      </c>
      <c r="T26" s="26" t="n">
        <v>11.33</v>
      </c>
      <c r="U26" s="25" t="n">
        <v>0.0882</v>
      </c>
      <c r="V26" s="25" t="n">
        <v>0.125</v>
      </c>
      <c r="W26" s="27" t="n">
        <v>17</v>
      </c>
      <c r="X26" s="28" t="n"/>
      <c r="Y26" s="28" t="n"/>
      <c r="Z26" s="28" t="n"/>
      <c r="AA26" s="28" t="n">
        <v>0.0028</v>
      </c>
      <c r="AB26" s="29" t="n"/>
      <c r="AC26" s="28" t="n"/>
      <c r="AD26" s="28" t="n">
        <v>0.0568</v>
      </c>
      <c r="AE26" s="28" t="n">
        <v>0.5322</v>
      </c>
      <c r="AF26" s="29" t="n">
        <v>11.55</v>
      </c>
      <c r="AG26" s="28" t="n">
        <v>0.08409999999999999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Jared Wayne</t>
        </is>
      </c>
      <c r="C27" s="35" t="n">
        <v>5</v>
      </c>
      <c r="D27" s="35" t="inlineStr">
        <is>
          <t>25</t>
        </is>
      </c>
      <c r="E27" s="42" t="inlineStr">
        <is>
          <t>ACT</t>
        </is>
      </c>
      <c r="F27" s="24" t="inlineStr">
        <is>
          <t>HOU</t>
        </is>
      </c>
      <c r="G27" s="24" t="inlineStr">
        <is>
          <t>1</t>
        </is>
      </c>
      <c r="H27" s="25" t="n">
        <v>0.36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/>
      <c r="R27" s="25" t="n">
        <v>0.0036</v>
      </c>
      <c r="S27" s="25" t="n"/>
      <c r="T27" s="26" t="n"/>
      <c r="U27" s="25" t="n"/>
      <c r="V27" s="25" t="n"/>
      <c r="W27" s="27" t="n">
        <v>17</v>
      </c>
      <c r="X27" s="28" t="n"/>
      <c r="Y27" s="28" t="n"/>
      <c r="Z27" s="28" t="n"/>
      <c r="AA27" s="28" t="n">
        <v>0.0009</v>
      </c>
      <c r="AB27" s="29" t="n"/>
      <c r="AC27" s="28" t="n"/>
      <c r="AD27" s="28" t="n">
        <v>0.0203</v>
      </c>
      <c r="AE27" s="28" t="n">
        <v>1</v>
      </c>
      <c r="AF27" s="29" t="n">
        <v>12.84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Treyvhon Saunders</t>
        </is>
      </c>
      <c r="C28" s="22" t="n">
        <v>6</v>
      </c>
      <c r="D28" s="22" t="inlineStr"/>
      <c r="E28" s="23" t="inlineStr">
        <is>
          <t>ACT</t>
        </is>
      </c>
      <c r="F28" s="24" t="inlineStr"/>
      <c r="G28" s="24" t="inlineStr"/>
      <c r="H28" s="25" t="n"/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/>
      <c r="R28" s="25" t="n"/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0.0022</v>
      </c>
      <c r="AB28" s="29" t="n"/>
      <c r="AC28" s="28" t="n"/>
      <c r="AD28" s="28" t="n">
        <v>0.0247</v>
      </c>
      <c r="AE28" s="28" t="n">
        <v>0.65</v>
      </c>
      <c r="AF28" s="29" t="n">
        <v>12.84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Daniel Sobkowicz</t>
        </is>
      </c>
      <c r="C29" s="35" t="n">
        <v>7</v>
      </c>
      <c r="D29" s="35" t="inlineStr">
        <is>
          <t>23</t>
        </is>
      </c>
      <c r="E29" s="42" t="inlineStr">
        <is>
          <t>ACT</t>
        </is>
      </c>
      <c r="F29" s="24" t="inlineStr"/>
      <c r="G29" s="24" t="inlineStr"/>
      <c r="H29" s="25" t="n"/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/>
      <c r="R29" s="25" t="n"/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0.0023</v>
      </c>
      <c r="AB29" s="29" t="n"/>
      <c r="AC29" s="28" t="n"/>
      <c r="AD29" s="28" t="n">
        <v>0.0073</v>
      </c>
      <c r="AE29" s="28" t="n">
        <v>0.65</v>
      </c>
      <c r="AF29" s="29" t="n">
        <v>12.84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40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Dalton Schultz</t>
        </is>
      </c>
      <c r="C32" s="22" t="n">
        <v>1</v>
      </c>
      <c r="D32" s="22" t="inlineStr">
        <is>
          <t>30</t>
        </is>
      </c>
      <c r="E32" s="23" t="inlineStr">
        <is>
          <t>ACT</t>
        </is>
      </c>
      <c r="F32" s="24" t="inlineStr">
        <is>
          <t>HOU</t>
        </is>
      </c>
      <c r="G32" s="24" t="inlineStr">
        <is>
          <t>17</t>
        </is>
      </c>
      <c r="H32" s="25" t="n">
        <v>0.735</v>
      </c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>
        <v>0.1554</v>
      </c>
      <c r="R32" s="25" t="n">
        <v>0.1917</v>
      </c>
      <c r="S32" s="25" t="n">
        <v>0.709</v>
      </c>
      <c r="T32" s="26" t="n">
        <v>9.880000000000001</v>
      </c>
      <c r="U32" s="25" t="n">
        <v>0.1618</v>
      </c>
      <c r="V32" s="25" t="n">
        <v>0.125</v>
      </c>
      <c r="W32" s="27" t="n">
        <v>17</v>
      </c>
      <c r="X32" s="28" t="n"/>
      <c r="Y32" s="28" t="n"/>
      <c r="Z32" s="28" t="n"/>
      <c r="AA32" s="28" t="n">
        <v>0.0021</v>
      </c>
      <c r="AB32" s="29" t="n"/>
      <c r="AC32" s="28" t="n"/>
      <c r="AD32" s="28" t="n">
        <v>0.1582</v>
      </c>
      <c r="AE32" s="28" t="n">
        <v>0.7088</v>
      </c>
      <c r="AF32" s="29" t="n">
        <v>10.02</v>
      </c>
      <c r="AG32" s="28" t="n">
        <v>0.0863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Cade Stover</t>
        </is>
      </c>
      <c r="C33" s="35" t="n">
        <v>2</v>
      </c>
      <c r="D33" s="35" t="inlineStr">
        <is>
          <t>26</t>
        </is>
      </c>
      <c r="E33" s="42" t="inlineStr">
        <is>
          <t>ACT</t>
        </is>
      </c>
      <c r="F33" s="24" t="inlineStr">
        <is>
          <t>HOU</t>
        </is>
      </c>
      <c r="G33" s="24" t="inlineStr">
        <is>
          <t>9</t>
        </is>
      </c>
      <c r="H33" s="25" t="n">
        <v>0.426</v>
      </c>
      <c r="I33" s="25" t="n"/>
      <c r="J33" s="25" t="n"/>
      <c r="K33" s="26" t="n"/>
      <c r="L33" s="25" t="n"/>
      <c r="M33" s="25" t="n">
        <v>0.008699999999999999</v>
      </c>
      <c r="N33" s="26" t="n"/>
      <c r="O33" s="25" t="n">
        <v>0.0411</v>
      </c>
      <c r="P33" s="25" t="n"/>
      <c r="Q33" s="25" t="n">
        <v>0.0402</v>
      </c>
      <c r="R33" s="25" t="n">
        <v>0.0289</v>
      </c>
      <c r="S33" s="25" t="n">
        <v>0.716</v>
      </c>
      <c r="T33" s="26" t="n">
        <v>7.6</v>
      </c>
      <c r="U33" s="25" t="n">
        <v>0.0441</v>
      </c>
      <c r="V33" s="25" t="n"/>
      <c r="W33" s="27" t="n">
        <v>17</v>
      </c>
      <c r="X33" s="28" t="n"/>
      <c r="Y33" s="28" t="n"/>
      <c r="Z33" s="28" t="n"/>
      <c r="AA33" s="28" t="n">
        <v>0.0031</v>
      </c>
      <c r="AB33" s="29" t="n"/>
      <c r="AC33" s="28" t="n"/>
      <c r="AD33" s="28" t="n">
        <v>0.0245</v>
      </c>
      <c r="AE33" s="28" t="n">
        <v>0.7159</v>
      </c>
      <c r="AF33" s="29" t="n">
        <v>7.74</v>
      </c>
      <c r="AG33" s="28" t="n">
        <v>0.0336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Marlin Klein</t>
        </is>
      </c>
      <c r="C34" s="22" t="n">
        <v>3</v>
      </c>
      <c r="D34" s="22" t="inlineStr">
        <is>
          <t>23</t>
        </is>
      </c>
      <c r="E34" s="23" t="inlineStr">
        <is>
          <t>ACT</t>
        </is>
      </c>
      <c r="F34" s="24" t="inlineStr"/>
      <c r="G34" s="24" t="inlineStr"/>
      <c r="H34" s="25" t="n"/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/>
      <c r="R34" s="25" t="n"/>
      <c r="S34" s="25" t="n"/>
      <c r="T34" s="26" t="n"/>
      <c r="U34" s="25" t="n"/>
      <c r="V34" s="25" t="n"/>
      <c r="W34" s="27" t="n">
        <v>17</v>
      </c>
      <c r="X34" s="28" t="n"/>
      <c r="Y34" s="28" t="n"/>
      <c r="Z34" s="28" t="n"/>
      <c r="AA34" s="28" t="n">
        <v>0.0021</v>
      </c>
      <c r="AB34" s="29" t="n"/>
      <c r="AC34" s="28" t="n"/>
      <c r="AD34" s="28" t="n">
        <v>0.0392</v>
      </c>
      <c r="AE34" s="28" t="n">
        <v>0.65</v>
      </c>
      <c r="AF34" s="29" t="n">
        <v>10.32</v>
      </c>
      <c r="AG34" s="28" t="n"/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Foster Moreau</t>
        </is>
      </c>
      <c r="C35" s="35" t="n">
        <v>4</v>
      </c>
      <c r="D35" s="35" t="inlineStr">
        <is>
          <t>29</t>
        </is>
      </c>
      <c r="E35" s="42" t="inlineStr">
        <is>
          <t>ACT</t>
        </is>
      </c>
      <c r="F35" s="24" t="inlineStr">
        <is>
          <t>NO</t>
        </is>
      </c>
      <c r="G35" s="24" t="inlineStr">
        <is>
          <t>11</t>
        </is>
      </c>
      <c r="H35" s="25" t="n">
        <v>0.493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>
        <v>0.0832</v>
      </c>
      <c r="R35" s="25" t="n">
        <v>0.0177</v>
      </c>
      <c r="S35" s="25" t="n">
        <v>0.78</v>
      </c>
      <c r="T35" s="26" t="n">
        <v>11.53</v>
      </c>
      <c r="U35" s="25" t="n">
        <v>0.0233</v>
      </c>
      <c r="V35" s="25" t="n"/>
      <c r="W35" s="27" t="n">
        <v>17</v>
      </c>
      <c r="X35" s="28" t="n"/>
      <c r="Y35" s="28" t="n"/>
      <c r="Z35" s="28" t="n"/>
      <c r="AA35" s="28" t="n">
        <v>0.0021</v>
      </c>
      <c r="AB35" s="29" t="n"/>
      <c r="AC35" s="28" t="n"/>
      <c r="AD35" s="28" t="n">
        <v>0.0054</v>
      </c>
      <c r="AE35" s="28" t="n">
        <v>0.7475000000000001</v>
      </c>
      <c r="AF35" s="29" t="n">
        <v>11.08</v>
      </c>
      <c r="AG35" s="28" t="n">
        <v>0.1097</v>
      </c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IND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1045</v>
      </c>
      <c r="D4" s="10">
        <f>$C$4/$B$4</f>
        <v/>
      </c>
      <c r="E4" s="11" t="n">
        <v>0.5562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1018</v>
      </c>
      <c r="M4" s="14" t="n">
        <v>59.8824</v>
      </c>
      <c r="N4" s="15" t="n">
        <v>0.5658</v>
      </c>
      <c r="O4" s="13" t="n">
        <v>547</v>
      </c>
      <c r="P4" s="13" t="n">
        <v>442</v>
      </c>
      <c r="Q4" s="16" t="n">
        <v>7.468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41.4</v>
      </c>
      <c r="C7" s="11" t="n">
        <v>0.4651</v>
      </c>
      <c r="D7" s="10">
        <f>$B$7*$C$7</f>
        <v/>
      </c>
      <c r="E7" s="10">
        <f>$B$7-$D$7</f>
        <v/>
      </c>
      <c r="F7" s="12" t="n">
        <v>3909</v>
      </c>
      <c r="G7" s="12" t="n">
        <v>2073</v>
      </c>
      <c r="H7" s="12">
        <f>$F$7</f>
        <v/>
      </c>
      <c r="L7" s="13" t="n">
        <v>4085</v>
      </c>
      <c r="M7" s="13" t="n">
        <v>2007</v>
      </c>
      <c r="N7" s="14" t="n">
        <v>25</v>
      </c>
      <c r="O7" s="14" t="n">
        <v>27</v>
      </c>
      <c r="P7" s="14" t="n">
        <v>52</v>
      </c>
      <c r="Q7" s="15" t="n">
        <v>0.5192307692307693</v>
      </c>
    </row>
    <row r="8"/>
    <row r="9">
      <c r="A9" s="5" t="inlineStr">
        <is>
          <t>NOTES</t>
        </is>
      </c>
      <c r="B9" s="18" t="inlineStr">
        <is>
          <t>25% of targets and 5% of carries left this roster.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Daniel Jones</t>
        </is>
      </c>
      <c r="C12" s="22" t="n">
        <v>1</v>
      </c>
      <c r="D12" s="22" t="inlineStr">
        <is>
          <t>29</t>
        </is>
      </c>
      <c r="E12" s="23" t="inlineStr">
        <is>
          <t>ACT</t>
        </is>
      </c>
      <c r="F12" s="24" t="inlineStr">
        <is>
          <t>IND</t>
        </is>
      </c>
      <c r="G12" s="24" t="inlineStr">
        <is>
          <t>13</t>
        </is>
      </c>
      <c r="H12" s="25" t="n">
        <v>0.914</v>
      </c>
      <c r="I12" s="25" t="n">
        <v>0.702</v>
      </c>
      <c r="J12" s="25" t="n">
        <v>0.666</v>
      </c>
      <c r="K12" s="26" t="n">
        <v>7.24</v>
      </c>
      <c r="L12" s="25" t="n">
        <v>0.023</v>
      </c>
      <c r="M12" s="25" t="n">
        <v>0.08840000000000001</v>
      </c>
      <c r="N12" s="26" t="n">
        <v>4.46</v>
      </c>
      <c r="O12" s="25" t="n">
        <v>0.1485</v>
      </c>
      <c r="P12" s="25" t="n">
        <v>0.1852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0.5598</v>
      </c>
      <c r="Y12" s="28" t="n">
        <v>0.666</v>
      </c>
      <c r="Z12" s="28" t="n">
        <v>0.023</v>
      </c>
      <c r="AA12" s="28" t="n">
        <v>0.09619999999999999</v>
      </c>
      <c r="AB12" s="29" t="n">
        <v>4.64</v>
      </c>
      <c r="AC12" s="28" t="n">
        <v>0.1446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Anthony Richardson</t>
        </is>
      </c>
      <c r="C13" s="35" t="n">
        <v>2</v>
      </c>
      <c r="D13" s="35" t="inlineStr">
        <is>
          <t>24</t>
        </is>
      </c>
      <c r="E13" s="42" t="inlineStr">
        <is>
          <t>ACT</t>
        </is>
      </c>
      <c r="F13" s="24" t="inlineStr">
        <is>
          <t>IND</t>
        </is>
      </c>
      <c r="G13" s="24" t="inlineStr">
        <is>
          <t>2</t>
        </is>
      </c>
      <c r="H13" s="25" t="n">
        <v>0.466</v>
      </c>
      <c r="I13" s="25" t="n">
        <v>0.0037</v>
      </c>
      <c r="J13" s="25" t="n">
        <v>0.5</v>
      </c>
      <c r="K13" s="26" t="n">
        <v>6.87</v>
      </c>
      <c r="L13" s="25" t="n">
        <v>0.039</v>
      </c>
      <c r="M13" s="25" t="n">
        <v>0.0023</v>
      </c>
      <c r="N13" s="26" t="n">
        <v>6.19</v>
      </c>
      <c r="O13" s="25" t="n"/>
      <c r="P13" s="25" t="n"/>
      <c r="Q13" s="25" t="n">
        <v>0.002</v>
      </c>
      <c r="R13" s="25" t="n">
        <v>0.0019</v>
      </c>
      <c r="S13" s="25" t="n"/>
      <c r="T13" s="26" t="n"/>
      <c r="U13" s="25" t="n"/>
      <c r="V13" s="25" t="n"/>
      <c r="W13" s="27" t="n">
        <v>17</v>
      </c>
      <c r="X13" s="28" t="n">
        <v>0.3206</v>
      </c>
      <c r="Y13" s="28" t="n">
        <v>0.5</v>
      </c>
      <c r="Z13" s="28" t="n">
        <v>0.039</v>
      </c>
      <c r="AA13" s="28" t="n">
        <v>0.0678</v>
      </c>
      <c r="AB13" s="29" t="n">
        <v>6.1</v>
      </c>
      <c r="AC13" s="28" t="n">
        <v>0.245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Riley Leonard</t>
        </is>
      </c>
      <c r="C14" s="22" t="n">
        <v>3</v>
      </c>
      <c r="D14" s="22" t="inlineStr">
        <is>
          <t>23</t>
        </is>
      </c>
      <c r="E14" s="23" t="inlineStr">
        <is>
          <t>ACT</t>
        </is>
      </c>
      <c r="F14" s="24" t="inlineStr">
        <is>
          <t>IND</t>
        </is>
      </c>
      <c r="G14" s="24" t="inlineStr">
        <is>
          <t>5</t>
        </is>
      </c>
      <c r="H14" s="25" t="n">
        <v>0.394</v>
      </c>
      <c r="I14" s="25" t="n">
        <v>0.1225</v>
      </c>
      <c r="J14" s="25" t="n">
        <v>0.582</v>
      </c>
      <c r="K14" s="26" t="n">
        <v>6.19</v>
      </c>
      <c r="L14" s="25" t="n">
        <v>0.045</v>
      </c>
      <c r="M14" s="25" t="n">
        <v>0.0116</v>
      </c>
      <c r="N14" s="26" t="n"/>
      <c r="O14" s="25" t="n">
        <v>0.0198</v>
      </c>
      <c r="P14" s="25" t="n">
        <v>0.0741</v>
      </c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0.1101</v>
      </c>
      <c r="Y14" s="28" t="n">
        <v>0.582</v>
      </c>
      <c r="Z14" s="28" t="n">
        <v>0.045</v>
      </c>
      <c r="AA14" s="28" t="n">
        <v>0.0147</v>
      </c>
      <c r="AB14" s="29" t="n">
        <v>5.4</v>
      </c>
      <c r="AC14" s="28" t="n">
        <v>0.0643</v>
      </c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Jonathan Taylor</t>
        </is>
      </c>
      <c r="C16" s="22" t="n">
        <v>1</v>
      </c>
      <c r="D16" s="22" t="inlineStr">
        <is>
          <t>27</t>
        </is>
      </c>
      <c r="E16" s="23" t="inlineStr">
        <is>
          <t>ACT</t>
        </is>
      </c>
      <c r="F16" s="24" t="inlineStr">
        <is>
          <t>IND</t>
        </is>
      </c>
      <c r="G16" s="24" t="inlineStr">
        <is>
          <t>17</t>
        </is>
      </c>
      <c r="H16" s="25" t="n">
        <v>0.771</v>
      </c>
      <c r="I16" s="25" t="n"/>
      <c r="J16" s="25" t="n"/>
      <c r="K16" s="26" t="n"/>
      <c r="L16" s="25" t="n"/>
      <c r="M16" s="25" t="n">
        <v>0.7512</v>
      </c>
      <c r="N16" s="26" t="n">
        <v>4.78</v>
      </c>
      <c r="O16" s="25" t="n">
        <v>0.6931</v>
      </c>
      <c r="P16" s="25" t="n">
        <v>0.6667</v>
      </c>
      <c r="Q16" s="25" t="n">
        <v>0.063</v>
      </c>
      <c r="R16" s="25" t="n">
        <v>0.1038</v>
      </c>
      <c r="S16" s="25" t="n">
        <v>0.762</v>
      </c>
      <c r="T16" s="26" t="n">
        <v>8.01</v>
      </c>
      <c r="U16" s="25" t="n">
        <v>0.058</v>
      </c>
      <c r="V16" s="25" t="n">
        <v>0.08</v>
      </c>
      <c r="W16" s="27" t="n">
        <v>17</v>
      </c>
      <c r="X16" s="28" t="n"/>
      <c r="Y16" s="28" t="n"/>
      <c r="Z16" s="28" t="n"/>
      <c r="AA16" s="28" t="n">
        <v>0.5905</v>
      </c>
      <c r="AB16" s="29" t="n">
        <v>4.73</v>
      </c>
      <c r="AC16" s="28" t="n">
        <v>0.514</v>
      </c>
      <c r="AD16" s="28" t="n">
        <v>0.0912</v>
      </c>
      <c r="AE16" s="28" t="n">
        <v>0.7619</v>
      </c>
      <c r="AF16" s="29" t="n">
        <v>8.039999999999999</v>
      </c>
      <c r="AG16" s="28" t="n">
        <v>0.0587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Seth McGowan</t>
        </is>
      </c>
      <c r="C17" s="35" t="n">
        <v>2</v>
      </c>
      <c r="D17" s="35" t="inlineStr">
        <is>
          <t>24</t>
        </is>
      </c>
      <c r="E17" s="42" t="inlineStr">
        <is>
          <t>ACT</t>
        </is>
      </c>
      <c r="F17" s="24" t="inlineStr"/>
      <c r="G17" s="24" t="inlineStr"/>
      <c r="H17" s="25" t="n"/>
      <c r="I17" s="25" t="n"/>
      <c r="J17" s="25" t="n"/>
      <c r="K17" s="26" t="n"/>
      <c r="L17" s="25" t="n"/>
      <c r="M17" s="25" t="n"/>
      <c r="N17" s="26" t="n"/>
      <c r="O17" s="25" t="n"/>
      <c r="P17" s="25" t="n"/>
      <c r="Q17" s="25" t="n"/>
      <c r="R17" s="25" t="n"/>
      <c r="S17" s="25" t="n"/>
      <c r="T17" s="26" t="n"/>
      <c r="U17" s="25" t="n"/>
      <c r="V17" s="25" t="n"/>
      <c r="W17" s="27" t="n">
        <v>17</v>
      </c>
      <c r="X17" s="28" t="n"/>
      <c r="Y17" s="28" t="n"/>
      <c r="Z17" s="28" t="n"/>
      <c r="AA17" s="28" t="n">
        <v>0.0618</v>
      </c>
      <c r="AB17" s="29" t="n">
        <v>4.13</v>
      </c>
      <c r="AC17" s="28" t="n"/>
      <c r="AD17" s="28" t="n">
        <v>0.0192</v>
      </c>
      <c r="AE17" s="28" t="n">
        <v>0.75</v>
      </c>
      <c r="AF17" s="29" t="n">
        <v>7.13</v>
      </c>
      <c r="AG17" s="28" t="n"/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DJ Giddens</t>
        </is>
      </c>
      <c r="C18" s="22" t="n">
        <v>3</v>
      </c>
      <c r="D18" s="22" t="inlineStr">
        <is>
          <t>23</t>
        </is>
      </c>
      <c r="E18" s="23" t="inlineStr">
        <is>
          <t>ACT</t>
        </is>
      </c>
      <c r="F18" s="24" t="inlineStr">
        <is>
          <t>IND</t>
        </is>
      </c>
      <c r="G18" s="24" t="inlineStr">
        <is>
          <t>9</t>
        </is>
      </c>
      <c r="H18" s="25" t="n">
        <v>0.12</v>
      </c>
      <c r="I18" s="25" t="n"/>
      <c r="J18" s="25" t="n"/>
      <c r="K18" s="26" t="n"/>
      <c r="L18" s="25" t="n"/>
      <c r="M18" s="25" t="n">
        <v>0.0605</v>
      </c>
      <c r="N18" s="26" t="n">
        <v>3.69</v>
      </c>
      <c r="O18" s="25" t="n">
        <v>0.0495</v>
      </c>
      <c r="P18" s="25" t="n"/>
      <c r="Q18" s="25" t="n"/>
      <c r="R18" s="25" t="n">
        <v>0.0038</v>
      </c>
      <c r="S18" s="25" t="n"/>
      <c r="T18" s="26" t="n"/>
      <c r="U18" s="25" t="n">
        <v>0.0145</v>
      </c>
      <c r="V18" s="25" t="n"/>
      <c r="W18" s="27" t="n">
        <v>17</v>
      </c>
      <c r="X18" s="28" t="n"/>
      <c r="Y18" s="28" t="n"/>
      <c r="Z18" s="28" t="n"/>
      <c r="AA18" s="28" t="n">
        <v>0.1109</v>
      </c>
      <c r="AB18" s="29" t="n">
        <v>3.69</v>
      </c>
      <c r="AC18" s="28" t="n"/>
      <c r="AD18" s="28" t="n">
        <v>0.02</v>
      </c>
      <c r="AE18" s="28" t="n">
        <v>0.774</v>
      </c>
      <c r="AF18" s="29" t="n">
        <v>7.13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Anderson Castle</t>
        </is>
      </c>
      <c r="C19" s="35" t="n">
        <v>4</v>
      </c>
      <c r="D19" s="35" t="inlineStr"/>
      <c r="E19" s="42" t="inlineStr">
        <is>
          <t>ACT</t>
        </is>
      </c>
      <c r="F19" s="24" t="inlineStr"/>
      <c r="G19" s="24" t="inlineStr"/>
      <c r="H19" s="25" t="n"/>
      <c r="I19" s="25" t="n"/>
      <c r="J19" s="25" t="n"/>
      <c r="K19" s="26" t="n"/>
      <c r="L19" s="25" t="n"/>
      <c r="M19" s="25" t="n"/>
      <c r="N19" s="26" t="n"/>
      <c r="O19" s="25" t="n"/>
      <c r="P19" s="25" t="n"/>
      <c r="Q19" s="25" t="n"/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0.0072</v>
      </c>
      <c r="AB19" s="29" t="n">
        <v>4.13</v>
      </c>
      <c r="AC19" s="28" t="n"/>
      <c r="AD19" s="28" t="n">
        <v>0.0035</v>
      </c>
      <c r="AE19" s="28" t="n">
        <v>0.75</v>
      </c>
      <c r="AF19" s="29" t="n">
        <v>7.13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40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Alec Pierce</t>
        </is>
      </c>
      <c r="C23" s="35" t="n">
        <v>1</v>
      </c>
      <c r="D23" s="35" t="inlineStr">
        <is>
          <t>26</t>
        </is>
      </c>
      <c r="E23" s="36" t="inlineStr">
        <is>
          <t>QUESTIONABLE</t>
        </is>
      </c>
      <c r="F23" s="24" t="inlineStr">
        <is>
          <t>IND</t>
        </is>
      </c>
      <c r="G23" s="24" t="inlineStr">
        <is>
          <t>15</t>
        </is>
      </c>
      <c r="H23" s="25" t="n">
        <v>0.86</v>
      </c>
      <c r="I23" s="25" t="n"/>
      <c r="J23" s="25" t="n"/>
      <c r="K23" s="26" t="n"/>
      <c r="L23" s="25" t="n"/>
      <c r="M23" s="25" t="n"/>
      <c r="N23" s="26" t="n"/>
      <c r="O23" s="25" t="n"/>
      <c r="P23" s="25" t="n"/>
      <c r="Q23" s="25" t="n">
        <v>0.1402</v>
      </c>
      <c r="R23" s="25" t="n">
        <v>0.1585</v>
      </c>
      <c r="S23" s="25" t="n">
        <v>0.538</v>
      </c>
      <c r="T23" s="26" t="n">
        <v>20.48</v>
      </c>
      <c r="U23" s="25" t="n">
        <v>0.1159</v>
      </c>
      <c r="V23" s="25" t="n">
        <v>0.24</v>
      </c>
      <c r="W23" s="27" t="n">
        <v>17</v>
      </c>
      <c r="X23" s="28" t="n"/>
      <c r="Y23" s="28" t="n"/>
      <c r="Z23" s="28" t="n"/>
      <c r="AA23" s="28" t="n">
        <v>0.0049</v>
      </c>
      <c r="AB23" s="29" t="n"/>
      <c r="AC23" s="28" t="n"/>
      <c r="AD23" s="28" t="n">
        <v>0.1924</v>
      </c>
      <c r="AE23" s="28" t="n">
        <v>0.5377999999999999</v>
      </c>
      <c r="AF23" s="29" t="n">
        <v>12.84</v>
      </c>
      <c r="AG23" s="28" t="n">
        <v>0.2117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Josh Downs</t>
        </is>
      </c>
      <c r="C24" s="22" t="n">
        <v>2</v>
      </c>
      <c r="D24" s="22" t="inlineStr">
        <is>
          <t>25</t>
        </is>
      </c>
      <c r="E24" s="41" t="inlineStr">
        <is>
          <t>QUESTIONABLE</t>
        </is>
      </c>
      <c r="F24" s="24" t="inlineStr">
        <is>
          <t>IND</t>
        </is>
      </c>
      <c r="G24" s="24" t="inlineStr">
        <is>
          <t>16</t>
        </is>
      </c>
      <c r="H24" s="25" t="n">
        <v>0.622</v>
      </c>
      <c r="I24" s="25" t="n"/>
      <c r="J24" s="25" t="n"/>
      <c r="K24" s="26" t="n"/>
      <c r="L24" s="25" t="n"/>
      <c r="M24" s="25" t="n">
        <v>0.0047</v>
      </c>
      <c r="N24" s="26" t="n"/>
      <c r="O24" s="25" t="n"/>
      <c r="P24" s="25" t="n"/>
      <c r="Q24" s="25" t="n">
        <v>0.2175</v>
      </c>
      <c r="R24" s="25" t="n">
        <v>0.166</v>
      </c>
      <c r="S24" s="25" t="n">
        <v>0.67</v>
      </c>
      <c r="T24" s="26" t="n">
        <v>10.48</v>
      </c>
      <c r="U24" s="25" t="n">
        <v>0.2029</v>
      </c>
      <c r="V24" s="25" t="n">
        <v>0.16</v>
      </c>
      <c r="W24" s="27" t="n">
        <v>17</v>
      </c>
      <c r="X24" s="28" t="n"/>
      <c r="Y24" s="28" t="n"/>
      <c r="Z24" s="28" t="n"/>
      <c r="AA24" s="28" t="n">
        <v>0.0048</v>
      </c>
      <c r="AB24" s="29" t="n">
        <v>3.33</v>
      </c>
      <c r="AC24" s="28" t="n"/>
      <c r="AD24" s="28" t="n">
        <v>0.1883</v>
      </c>
      <c r="AE24" s="28" t="n">
        <v>0.6704</v>
      </c>
      <c r="AF24" s="29" t="n">
        <v>10.81</v>
      </c>
      <c r="AG24" s="28" t="n">
        <v>0.1496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Keenan Allen</t>
        </is>
      </c>
      <c r="C25" s="35" t="n">
        <v>3</v>
      </c>
      <c r="D25" s="35" t="inlineStr">
        <is>
          <t>34</t>
        </is>
      </c>
      <c r="E25" s="42" t="inlineStr">
        <is>
          <t>ACT</t>
        </is>
      </c>
      <c r="F25" s="24" t="inlineStr">
        <is>
          <t>LAC</t>
        </is>
      </c>
      <c r="G25" s="24" t="inlineStr">
        <is>
          <t>17</t>
        </is>
      </c>
      <c r="H25" s="25" t="n">
        <v>0.716</v>
      </c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>
        <v>0.2296</v>
      </c>
      <c r="R25" s="25" t="n">
        <v>0.2243</v>
      </c>
      <c r="S25" s="25" t="n">
        <v>0.649</v>
      </c>
      <c r="T25" s="26" t="n">
        <v>10.21</v>
      </c>
      <c r="U25" s="25" t="n">
        <v>0.2027</v>
      </c>
      <c r="V25" s="25" t="n">
        <v>0.1538</v>
      </c>
      <c r="W25" s="27" t="n">
        <v>17</v>
      </c>
      <c r="X25" s="28" t="n"/>
      <c r="Y25" s="28" t="n"/>
      <c r="Z25" s="28" t="n"/>
      <c r="AA25" s="28" t="n">
        <v>0.0029</v>
      </c>
      <c r="AB25" s="29" t="n">
        <v>3</v>
      </c>
      <c r="AC25" s="28" t="n"/>
      <c r="AD25" s="28" t="n">
        <v>0.1241</v>
      </c>
      <c r="AE25" s="28" t="n">
        <v>0.6486</v>
      </c>
      <c r="AF25" s="29" t="n">
        <v>10.67</v>
      </c>
      <c r="AG25" s="28" t="n">
        <v>0.161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Ashton Dulin</t>
        </is>
      </c>
      <c r="C26" s="22" t="n">
        <v>4</v>
      </c>
      <c r="D26" s="22" t="inlineStr">
        <is>
          <t>29</t>
        </is>
      </c>
      <c r="E26" s="23" t="inlineStr">
        <is>
          <t>ACT</t>
        </is>
      </c>
      <c r="F26" s="24" t="inlineStr">
        <is>
          <t>IND</t>
        </is>
      </c>
      <c r="G26" s="24" t="inlineStr">
        <is>
          <t>12</t>
        </is>
      </c>
      <c r="H26" s="25" t="n">
        <v>0.208</v>
      </c>
      <c r="I26" s="25" t="n"/>
      <c r="J26" s="25" t="n"/>
      <c r="K26" s="26" t="n"/>
      <c r="L26" s="25" t="n"/>
      <c r="M26" s="25" t="n">
        <v>0.007</v>
      </c>
      <c r="N26" s="26" t="n"/>
      <c r="O26" s="25" t="n">
        <v>0.0198</v>
      </c>
      <c r="P26" s="25" t="n"/>
      <c r="Q26" s="25" t="n">
        <v>0.0163</v>
      </c>
      <c r="R26" s="25" t="n">
        <v>0.0189</v>
      </c>
      <c r="S26" s="25" t="n"/>
      <c r="T26" s="26" t="n"/>
      <c r="U26" s="25" t="n">
        <v>0.0145</v>
      </c>
      <c r="V26" s="25" t="n"/>
      <c r="W26" s="27" t="n">
        <v>17</v>
      </c>
      <c r="X26" s="28" t="n"/>
      <c r="Y26" s="28" t="n"/>
      <c r="Z26" s="28" t="n"/>
      <c r="AA26" s="28" t="n">
        <v>0.0032</v>
      </c>
      <c r="AB26" s="29" t="n"/>
      <c r="AC26" s="28" t="n"/>
      <c r="AD26" s="28" t="n">
        <v>0.033</v>
      </c>
      <c r="AE26" s="28" t="n">
        <v>0.3929</v>
      </c>
      <c r="AF26" s="29" t="n">
        <v>12.84</v>
      </c>
      <c r="AG26" s="28" t="n">
        <v>0.0431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Nick Westbrook-Ikhine</t>
        </is>
      </c>
      <c r="C27" s="35" t="n">
        <v>5</v>
      </c>
      <c r="D27" s="35" t="inlineStr">
        <is>
          <t>29</t>
        </is>
      </c>
      <c r="E27" s="42" t="inlineStr">
        <is>
          <t>ACT</t>
        </is>
      </c>
      <c r="F27" s="24" t="inlineStr">
        <is>
          <t>MIA</t>
        </is>
      </c>
      <c r="G27" s="24" t="inlineStr">
        <is>
          <t>15</t>
        </is>
      </c>
      <c r="H27" s="25" t="n">
        <v>0.57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>
        <v>0.1183</v>
      </c>
      <c r="R27" s="25" t="n">
        <v>0.0433</v>
      </c>
      <c r="S27" s="25" t="n">
        <v>0.5580000000000001</v>
      </c>
      <c r="T27" s="26" t="n">
        <v>14.71</v>
      </c>
      <c r="U27" s="25" t="n">
        <v>0.0333</v>
      </c>
      <c r="V27" s="25" t="n"/>
      <c r="W27" s="27" t="n">
        <v>17</v>
      </c>
      <c r="X27" s="28" t="n"/>
      <c r="Y27" s="28" t="n"/>
      <c r="Z27" s="28" t="n"/>
      <c r="AA27" s="28" t="n">
        <v>0.0029</v>
      </c>
      <c r="AB27" s="29" t="n"/>
      <c r="AC27" s="28" t="n"/>
      <c r="AD27" s="28" t="n">
        <v>0.1247</v>
      </c>
      <c r="AE27" s="28" t="n">
        <v>0.5576</v>
      </c>
      <c r="AF27" s="29" t="n">
        <v>13.46</v>
      </c>
      <c r="AG27" s="28" t="n">
        <v>0.293</v>
      </c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Laquon Treadwell</t>
        </is>
      </c>
      <c r="C28" s="22" t="n">
        <v>6</v>
      </c>
      <c r="D28" s="22" t="inlineStr">
        <is>
          <t>31</t>
        </is>
      </c>
      <c r="E28" s="23" t="inlineStr">
        <is>
          <t>ACT</t>
        </is>
      </c>
      <c r="F28" s="24" t="inlineStr"/>
      <c r="G28" s="24" t="inlineStr"/>
      <c r="H28" s="25" t="n">
        <v>0.15</v>
      </c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/>
      <c r="R28" s="25" t="n"/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0.0009</v>
      </c>
      <c r="AB28" s="29" t="n"/>
      <c r="AC28" s="28" t="n"/>
      <c r="AD28" s="28" t="n">
        <v>0.0059</v>
      </c>
      <c r="AE28" s="28" t="n">
        <v>0.3333</v>
      </c>
      <c r="AF28" s="29" t="n">
        <v>16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Anthony Gould</t>
        </is>
      </c>
      <c r="C29" s="35" t="n">
        <v>7</v>
      </c>
      <c r="D29" s="35" t="inlineStr">
        <is>
          <t>25</t>
        </is>
      </c>
      <c r="E29" s="42" t="inlineStr">
        <is>
          <t>ACT</t>
        </is>
      </c>
      <c r="F29" s="24" t="inlineStr">
        <is>
          <t>IND</t>
        </is>
      </c>
      <c r="G29" s="24" t="inlineStr">
        <is>
          <t>11</t>
        </is>
      </c>
      <c r="H29" s="25" t="n">
        <v>0.126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>
        <v>0.002</v>
      </c>
      <c r="R29" s="25" t="n">
        <v>0.0038</v>
      </c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0.0008</v>
      </c>
      <c r="AB29" s="29" t="n"/>
      <c r="AC29" s="28" t="n"/>
      <c r="AD29" s="28" t="n">
        <v>0.0052</v>
      </c>
      <c r="AE29" s="28" t="n">
        <v>1</v>
      </c>
      <c r="AF29" s="29" t="n">
        <v>9.67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Deion Burks</t>
        </is>
      </c>
      <c r="C30" s="22" t="n">
        <v>8</v>
      </c>
      <c r="D30" s="22" t="inlineStr">
        <is>
          <t>23</t>
        </is>
      </c>
      <c r="E30" s="23" t="inlineStr">
        <is>
          <t>ACT</t>
        </is>
      </c>
      <c r="F30" s="24" t="inlineStr"/>
      <c r="G30" s="24" t="inlineStr"/>
      <c r="H30" s="25" t="n"/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/>
      <c r="R30" s="25" t="n"/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0.0019</v>
      </c>
      <c r="AB30" s="29" t="n"/>
      <c r="AC30" s="28" t="n"/>
      <c r="AD30" s="28" t="n">
        <v>0.0053</v>
      </c>
      <c r="AE30" s="28" t="n">
        <v>0.65</v>
      </c>
      <c r="AF30" s="29" t="n">
        <v>12.84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Tyler Warren</t>
        </is>
      </c>
      <c r="C32" s="22" t="n">
        <v>1</v>
      </c>
      <c r="D32" s="22" t="inlineStr">
        <is>
          <t>24</t>
        </is>
      </c>
      <c r="E32" s="41" t="inlineStr">
        <is>
          <t>QUESTIONABLE</t>
        </is>
      </c>
      <c r="F32" s="24" t="inlineStr">
        <is>
          <t>IND</t>
        </is>
      </c>
      <c r="G32" s="24" t="inlineStr">
        <is>
          <t>17</t>
        </is>
      </c>
      <c r="H32" s="25" t="n">
        <v>0.838</v>
      </c>
      <c r="I32" s="25" t="n">
        <v>0.0018</v>
      </c>
      <c r="J32" s="25" t="n"/>
      <c r="K32" s="26" t="n"/>
      <c r="L32" s="25" t="n"/>
      <c r="M32" s="25" t="n">
        <v>0.014</v>
      </c>
      <c r="N32" s="26" t="n"/>
      <c r="O32" s="25" t="n">
        <v>0.0396</v>
      </c>
      <c r="P32" s="25" t="n">
        <v>0.037</v>
      </c>
      <c r="Q32" s="25" t="n"/>
      <c r="R32" s="25" t="n">
        <v>0.2113</v>
      </c>
      <c r="S32" s="25" t="n">
        <v>0.679</v>
      </c>
      <c r="T32" s="26" t="n">
        <v>10.75</v>
      </c>
      <c r="U32" s="25" t="n">
        <v>0.2754</v>
      </c>
      <c r="V32" s="25" t="n">
        <v>0.16</v>
      </c>
      <c r="W32" s="27" t="n">
        <v>17</v>
      </c>
      <c r="X32" s="28" t="n"/>
      <c r="Y32" s="28" t="n"/>
      <c r="Z32" s="28" t="n"/>
      <c r="AA32" s="28" t="n">
        <v>0.0101</v>
      </c>
      <c r="AB32" s="29" t="n"/>
      <c r="AC32" s="28" t="n">
        <v>0.0321</v>
      </c>
      <c r="AD32" s="28" t="n">
        <v>0.1936</v>
      </c>
      <c r="AE32" s="28" t="n">
        <v>0.6786</v>
      </c>
      <c r="AF32" s="29" t="n">
        <v>10.75</v>
      </c>
      <c r="AG32" s="28" t="n">
        <v>0.1379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Mo Alie-Cox</t>
        </is>
      </c>
      <c r="C33" s="35" t="n">
        <v>2</v>
      </c>
      <c r="D33" s="35" t="inlineStr">
        <is>
          <t>32</t>
        </is>
      </c>
      <c r="E33" s="42" t="inlineStr">
        <is>
          <t>ACT</t>
        </is>
      </c>
      <c r="F33" s="24" t="inlineStr">
        <is>
          <t>IND</t>
        </is>
      </c>
      <c r="G33" s="24" t="inlineStr">
        <is>
          <t>17</t>
        </is>
      </c>
      <c r="H33" s="25" t="n">
        <v>0.404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0.0447</v>
      </c>
      <c r="R33" s="25" t="n">
        <v>0.0377</v>
      </c>
      <c r="S33" s="25" t="n">
        <v>0.607</v>
      </c>
      <c r="T33" s="26" t="n">
        <v>10.65</v>
      </c>
      <c r="U33" s="25" t="n">
        <v>0.0725</v>
      </c>
      <c r="V33" s="25" t="n">
        <v>0.04</v>
      </c>
      <c r="W33" s="27" t="n">
        <v>17</v>
      </c>
      <c r="X33" s="28" t="n"/>
      <c r="Y33" s="28" t="n"/>
      <c r="Z33" s="28" t="n"/>
      <c r="AA33" s="28" t="n">
        <v>0.0009</v>
      </c>
      <c r="AB33" s="29" t="n"/>
      <c r="AC33" s="28" t="n"/>
      <c r="AD33" s="28" t="n">
        <v>0.0355</v>
      </c>
      <c r="AE33" s="28" t="n">
        <v>0.6068</v>
      </c>
      <c r="AF33" s="29" t="n">
        <v>11.18</v>
      </c>
      <c r="AG33" s="28" t="n">
        <v>0.0589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Drew Ogletree</t>
        </is>
      </c>
      <c r="C34" s="22" t="n">
        <v>3</v>
      </c>
      <c r="D34" s="22" t="inlineStr">
        <is>
          <t>28</t>
        </is>
      </c>
      <c r="E34" s="23" t="inlineStr">
        <is>
          <t>ACT</t>
        </is>
      </c>
      <c r="F34" s="24" t="inlineStr">
        <is>
          <t>IND</t>
        </is>
      </c>
      <c r="G34" s="24" t="inlineStr">
        <is>
          <t>15</t>
        </is>
      </c>
      <c r="H34" s="25" t="n"/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0.0285</v>
      </c>
      <c r="R34" s="25" t="n">
        <v>0.0113</v>
      </c>
      <c r="S34" s="25" t="n">
        <v>0.429</v>
      </c>
      <c r="T34" s="26" t="n"/>
      <c r="U34" s="25" t="n">
        <v>0.029</v>
      </c>
      <c r="V34" s="25" t="n">
        <v>0.04</v>
      </c>
      <c r="W34" s="27" t="n">
        <v>17</v>
      </c>
      <c r="X34" s="28" t="n"/>
      <c r="Y34" s="28" t="n"/>
      <c r="Z34" s="28" t="n"/>
      <c r="AA34" s="28" t="n">
        <v>0.0009</v>
      </c>
      <c r="AB34" s="29" t="n"/>
      <c r="AC34" s="28" t="n"/>
      <c r="AD34" s="28" t="n">
        <v>0.0194</v>
      </c>
      <c r="AE34" s="28" t="n">
        <v>0.6205000000000001</v>
      </c>
      <c r="AF34" s="29" t="n">
        <v>12.86</v>
      </c>
      <c r="AG34" s="28" t="n">
        <v>0.0472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JJ Galbreath</t>
        </is>
      </c>
      <c r="C35" s="35" t="n">
        <v>4</v>
      </c>
      <c r="D35" s="35" t="inlineStr">
        <is>
          <t>25</t>
        </is>
      </c>
      <c r="E35" s="42" t="inlineStr">
        <is>
          <t>ACT</t>
        </is>
      </c>
      <c r="F35" s="24" t="inlineStr"/>
      <c r="G35" s="24" t="inlineStr"/>
      <c r="H35" s="25" t="n"/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0.0021</v>
      </c>
      <c r="AB35" s="29" t="n"/>
      <c r="AC35" s="28" t="n"/>
      <c r="AD35" s="28" t="n">
        <v>0.0137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JAC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1061</v>
      </c>
      <c r="D4" s="10">
        <f>$C$4/$B$4</f>
        <v/>
      </c>
      <c r="E4" s="11" t="n">
        <v>0.5685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1093</v>
      </c>
      <c r="M4" s="14" t="n">
        <v>64.2941</v>
      </c>
      <c r="N4" s="15" t="n">
        <v>0.5526</v>
      </c>
      <c r="O4" s="13" t="n">
        <v>563</v>
      </c>
      <c r="P4" s="13" t="n">
        <v>489</v>
      </c>
      <c r="Q4" s="16" t="n">
        <v>7.151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41.2</v>
      </c>
      <c r="C7" s="11" t="n">
        <v>0.4048</v>
      </c>
      <c r="D7" s="10">
        <f>$B$7*$C$7</f>
        <v/>
      </c>
      <c r="E7" s="10">
        <f>$B$7-$D$7</f>
        <v/>
      </c>
      <c r="F7" s="12" t="n">
        <v>3973</v>
      </c>
      <c r="G7" s="12" t="n">
        <v>1875</v>
      </c>
      <c r="H7" s="12">
        <f>$F$7</f>
        <v/>
      </c>
      <c r="L7" s="13" t="n">
        <v>4026</v>
      </c>
      <c r="M7" s="13" t="n">
        <v>1956</v>
      </c>
      <c r="N7" s="14" t="n">
        <v>29</v>
      </c>
      <c r="O7" s="14" t="n">
        <v>22</v>
      </c>
      <c r="P7" s="14" t="n">
        <v>51</v>
      </c>
      <c r="Q7" s="15" t="n">
        <v>0.4313725490196079</v>
      </c>
    </row>
    <row r="8"/>
    <row r="9">
      <c r="A9" s="5" t="inlineStr">
        <is>
          <t>NOTES</t>
        </is>
      </c>
      <c r="B9" s="18" t="inlineStr">
        <is>
          <t>27% of targets and 57% of carries left this roster.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Trevor Lawrence</t>
        </is>
      </c>
      <c r="C12" s="22" t="n">
        <v>1</v>
      </c>
      <c r="D12" s="22" t="inlineStr">
        <is>
          <t>26</t>
        </is>
      </c>
      <c r="E12" s="23" t="inlineStr">
        <is>
          <t>ACT</t>
        </is>
      </c>
      <c r="F12" s="24" t="inlineStr">
        <is>
          <t>JAC</t>
        </is>
      </c>
      <c r="G12" s="24" t="inlineStr">
        <is>
          <t>17</t>
        </is>
      </c>
      <c r="H12" s="25" t="n">
        <v>0.944</v>
      </c>
      <c r="I12" s="25" t="n">
        <v>0.9947</v>
      </c>
      <c r="J12" s="25" t="n">
        <v>0.619</v>
      </c>
      <c r="K12" s="26" t="n">
        <v>7.16</v>
      </c>
      <c r="L12" s="25" t="n">
        <v>0.023</v>
      </c>
      <c r="M12" s="25" t="n">
        <v>0.1578</v>
      </c>
      <c r="N12" s="26" t="n">
        <v>5.11</v>
      </c>
      <c r="O12" s="25" t="n">
        <v>0.2091</v>
      </c>
      <c r="P12" s="25" t="n">
        <v>0.4091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0.8562</v>
      </c>
      <c r="Y12" s="28" t="n">
        <v>0.619</v>
      </c>
      <c r="Z12" s="28" t="n">
        <v>0.023</v>
      </c>
      <c r="AA12" s="28" t="n">
        <v>0.1301</v>
      </c>
      <c r="AB12" s="29" t="n">
        <v>5.24</v>
      </c>
      <c r="AC12" s="28" t="n">
        <v>0.3015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Quinn Ewers</t>
        </is>
      </c>
      <c r="C13" s="35" t="n">
        <v>2</v>
      </c>
      <c r="D13" s="35" t="inlineStr">
        <is>
          <t>23</t>
        </is>
      </c>
      <c r="E13" s="42" t="inlineStr">
        <is>
          <t>ACT</t>
        </is>
      </c>
      <c r="F13" s="24" t="inlineStr">
        <is>
          <t>MIA</t>
        </is>
      </c>
      <c r="G13" s="24" t="inlineStr">
        <is>
          <t>4</t>
        </is>
      </c>
      <c r="H13" s="25" t="n">
        <v>0.79</v>
      </c>
      <c r="I13" s="25" t="n">
        <v>0.1733</v>
      </c>
      <c r="J13" s="25" t="n">
        <v>0.663</v>
      </c>
      <c r="K13" s="26" t="n">
        <v>7.49</v>
      </c>
      <c r="L13" s="25" t="n">
        <v>0.036</v>
      </c>
      <c r="M13" s="25" t="n">
        <v>0.0142</v>
      </c>
      <c r="N13" s="26" t="n"/>
      <c r="O13" s="25" t="n"/>
      <c r="P13" s="25" t="n"/>
      <c r="Q13" s="25" t="n"/>
      <c r="R13" s="25" t="n">
        <v>0.0022</v>
      </c>
      <c r="S13" s="25" t="n"/>
      <c r="T13" s="26" t="n"/>
      <c r="U13" s="25" t="n">
        <v>0.0167</v>
      </c>
      <c r="V13" s="25" t="n"/>
      <c r="W13" s="27" t="n">
        <v>17</v>
      </c>
      <c r="X13" s="28" t="n">
        <v>0.1321</v>
      </c>
      <c r="Y13" s="28" t="n">
        <v>0.663</v>
      </c>
      <c r="Z13" s="28" t="n">
        <v>0.036</v>
      </c>
      <c r="AA13" s="28" t="n">
        <v>0.0281</v>
      </c>
      <c r="AB13" s="29" t="n">
        <v>4.5</v>
      </c>
      <c r="AC13" s="28" t="n"/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Carter Bradley</t>
        </is>
      </c>
      <c r="C14" s="22" t="n">
        <v>3</v>
      </c>
      <c r="D14" s="22" t="inlineStr">
        <is>
          <t>26</t>
        </is>
      </c>
      <c r="E14" s="41" t="inlineStr">
        <is>
          <t>QUESTIONABLE</t>
        </is>
      </c>
      <c r="F14" s="24" t="inlineStr"/>
      <c r="G14" s="24" t="inlineStr"/>
      <c r="H14" s="25" t="n"/>
      <c r="I14" s="25" t="n"/>
      <c r="J14" s="25" t="n"/>
      <c r="K14" s="26" t="n"/>
      <c r="L14" s="25" t="n"/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0.0707</v>
      </c>
      <c r="Y14" s="28" t="n">
        <v>0.65</v>
      </c>
      <c r="Z14" s="28" t="n">
        <v>0.022</v>
      </c>
      <c r="AA14" s="28" t="n">
        <v>0.0108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Bhayshul Tuten</t>
        </is>
      </c>
      <c r="C16" s="22" t="n">
        <v>1</v>
      </c>
      <c r="D16" s="22" t="inlineStr">
        <is>
          <t>23</t>
        </is>
      </c>
      <c r="E16" s="23" t="inlineStr">
        <is>
          <t>ACT</t>
        </is>
      </c>
      <c r="F16" s="24" t="inlineStr">
        <is>
          <t>JAC</t>
        </is>
      </c>
      <c r="G16" s="24" t="inlineStr">
        <is>
          <t>15</t>
        </is>
      </c>
      <c r="H16" s="25" t="n">
        <v>0.211</v>
      </c>
      <c r="I16" s="25" t="n"/>
      <c r="J16" s="25" t="n"/>
      <c r="K16" s="26" t="n"/>
      <c r="L16" s="25" t="n"/>
      <c r="M16" s="25" t="n">
        <v>0.177</v>
      </c>
      <c r="N16" s="26" t="n">
        <v>3.7</v>
      </c>
      <c r="O16" s="25" t="n">
        <v>0.2182</v>
      </c>
      <c r="P16" s="25" t="n">
        <v>0.2273</v>
      </c>
      <c r="Q16" s="25" t="n"/>
      <c r="R16" s="25" t="n">
        <v>0.0256</v>
      </c>
      <c r="S16" s="25" t="n"/>
      <c r="T16" s="26" t="n"/>
      <c r="U16" s="25" t="n">
        <v>0.0256</v>
      </c>
      <c r="V16" s="25" t="n">
        <v>0.06900000000000001</v>
      </c>
      <c r="W16" s="27" t="n">
        <v>17</v>
      </c>
      <c r="X16" s="28" t="n"/>
      <c r="Y16" s="28" t="n"/>
      <c r="Z16" s="28" t="n"/>
      <c r="AA16" s="28" t="n">
        <v>0.4172</v>
      </c>
      <c r="AB16" s="29" t="n">
        <v>3.7</v>
      </c>
      <c r="AC16" s="28" t="n">
        <v>0.2046</v>
      </c>
      <c r="AD16" s="28" t="n">
        <v>0.0611</v>
      </c>
      <c r="AE16" s="28" t="n">
        <v>0.7143</v>
      </c>
      <c r="AF16" s="29" t="n">
        <v>7.9</v>
      </c>
      <c r="AG16" s="28" t="n">
        <v>0.0585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Chris Rodriguez</t>
        </is>
      </c>
      <c r="C17" s="35" t="n">
        <v>2</v>
      </c>
      <c r="D17" s="35" t="inlineStr">
        <is>
          <t>26</t>
        </is>
      </c>
      <c r="E17" s="42" t="inlineStr">
        <is>
          <t>ACT</t>
        </is>
      </c>
      <c r="F17" s="24" t="inlineStr">
        <is>
          <t>WAS</t>
        </is>
      </c>
      <c r="G17" s="24" t="inlineStr">
        <is>
          <t>13</t>
        </is>
      </c>
      <c r="H17" s="25" t="n">
        <v>0.232</v>
      </c>
      <c r="I17" s="25" t="n"/>
      <c r="J17" s="25" t="n"/>
      <c r="K17" s="26" t="n"/>
      <c r="L17" s="25" t="n"/>
      <c r="M17" s="25" t="n">
        <v>0.2373</v>
      </c>
      <c r="N17" s="26" t="n">
        <v>4.66</v>
      </c>
      <c r="O17" s="25" t="n">
        <v>0.3708</v>
      </c>
      <c r="P17" s="25" t="n">
        <v>0.3</v>
      </c>
      <c r="Q17" s="25" t="n">
        <v>0.002</v>
      </c>
      <c r="R17" s="25" t="n">
        <v>0.009299999999999999</v>
      </c>
      <c r="S17" s="25" t="n"/>
      <c r="T17" s="26" t="n"/>
      <c r="U17" s="25" t="n">
        <v>0.0233</v>
      </c>
      <c r="V17" s="25" t="n"/>
      <c r="W17" s="27" t="n">
        <v>17</v>
      </c>
      <c r="X17" s="28" t="n"/>
      <c r="Y17" s="28" t="n"/>
      <c r="Z17" s="28" t="n"/>
      <c r="AA17" s="28" t="n">
        <v>0.236</v>
      </c>
      <c r="AB17" s="29" t="n">
        <v>4.65</v>
      </c>
      <c r="AC17" s="28" t="n">
        <v>0.1936</v>
      </c>
      <c r="AD17" s="28" t="n">
        <v>0.0393</v>
      </c>
      <c r="AE17" s="28" t="n">
        <v>0.8623</v>
      </c>
      <c r="AF17" s="29" t="n">
        <v>9</v>
      </c>
      <c r="AG17" s="28" t="n"/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LeQuint Allen</t>
        </is>
      </c>
      <c r="C18" s="22" t="n">
        <v>3</v>
      </c>
      <c r="D18" s="22" t="inlineStr">
        <is>
          <t>22</t>
        </is>
      </c>
      <c r="E18" s="41" t="inlineStr">
        <is>
          <t>QUESTIONABLE</t>
        </is>
      </c>
      <c r="F18" s="24" t="inlineStr">
        <is>
          <t>JAC</t>
        </is>
      </c>
      <c r="G18" s="24" t="inlineStr">
        <is>
          <t>17</t>
        </is>
      </c>
      <c r="H18" s="25" t="n">
        <v>0.226</v>
      </c>
      <c r="I18" s="25" t="n"/>
      <c r="J18" s="25" t="n"/>
      <c r="K18" s="26" t="n"/>
      <c r="L18" s="25" t="n"/>
      <c r="M18" s="25" t="n">
        <v>0.049</v>
      </c>
      <c r="N18" s="26" t="n">
        <v>4.09</v>
      </c>
      <c r="O18" s="25" t="n">
        <v>0.0273</v>
      </c>
      <c r="P18" s="25" t="n"/>
      <c r="Q18" s="25" t="n"/>
      <c r="R18" s="25" t="n">
        <v>0.0201</v>
      </c>
      <c r="S18" s="25" t="n"/>
      <c r="T18" s="26" t="n"/>
      <c r="U18" s="25" t="n">
        <v>0.0128</v>
      </c>
      <c r="V18" s="25" t="n"/>
      <c r="W18" s="27" t="n">
        <v>17</v>
      </c>
      <c r="X18" s="28" t="n"/>
      <c r="Y18" s="28" t="n"/>
      <c r="Z18" s="28" t="n"/>
      <c r="AA18" s="28" t="n">
        <v>0.029</v>
      </c>
      <c r="AB18" s="29" t="n">
        <v>4.09</v>
      </c>
      <c r="AC18" s="28" t="n"/>
      <c r="AD18" s="28" t="n">
        <v>0.0155</v>
      </c>
      <c r="AE18" s="28" t="n">
        <v>0.9091</v>
      </c>
      <c r="AF18" s="29" t="n">
        <v>5.4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Ameer Abdullah</t>
        </is>
      </c>
      <c r="C19" s="35" t="n">
        <v>4</v>
      </c>
      <c r="D19" s="35" t="inlineStr">
        <is>
          <t>33</t>
        </is>
      </c>
      <c r="E19" s="42" t="inlineStr">
        <is>
          <t>ACT</t>
        </is>
      </c>
      <c r="F19" s="24" t="inlineStr">
        <is>
          <t>IND</t>
        </is>
      </c>
      <c r="G19" s="24" t="inlineStr">
        <is>
          <t>13</t>
        </is>
      </c>
      <c r="H19" s="25" t="n">
        <v>0.22</v>
      </c>
      <c r="I19" s="25" t="n"/>
      <c r="J19" s="25" t="n"/>
      <c r="K19" s="26" t="n"/>
      <c r="L19" s="25" t="n"/>
      <c r="M19" s="25" t="n">
        <v>0.0326</v>
      </c>
      <c r="N19" s="26" t="n">
        <v>4.71</v>
      </c>
      <c r="O19" s="25" t="n">
        <v>0.0297</v>
      </c>
      <c r="P19" s="25" t="n">
        <v>0.037</v>
      </c>
      <c r="Q19" s="25" t="n">
        <v>0.0794</v>
      </c>
      <c r="R19" s="25" t="n">
        <v>0.0321</v>
      </c>
      <c r="S19" s="25" t="n">
        <v>0.877</v>
      </c>
      <c r="T19" s="26" t="n">
        <v>6.46</v>
      </c>
      <c r="U19" s="25" t="n">
        <v>0.0145</v>
      </c>
      <c r="V19" s="25" t="n"/>
      <c r="W19" s="27" t="n">
        <v>17</v>
      </c>
      <c r="X19" s="28" t="n"/>
      <c r="Y19" s="28" t="n"/>
      <c r="Z19" s="28" t="n"/>
      <c r="AA19" s="28" t="n">
        <v>0.0126</v>
      </c>
      <c r="AB19" s="29" t="n">
        <v>4.84</v>
      </c>
      <c r="AC19" s="28" t="n">
        <v>0.09569999999999999</v>
      </c>
      <c r="AD19" s="28" t="n">
        <v>0.0052</v>
      </c>
      <c r="AE19" s="28" t="n">
        <v>0.8772</v>
      </c>
      <c r="AF19" s="29" t="n">
        <v>6.55</v>
      </c>
      <c r="AG19" s="28" t="n">
        <v>0.1339</v>
      </c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DeeJay Dallas</t>
        </is>
      </c>
      <c r="C20" s="22" t="n">
        <v>5</v>
      </c>
      <c r="D20" s="22" t="inlineStr">
        <is>
          <t>27</t>
        </is>
      </c>
      <c r="E20" s="23" t="inlineStr">
        <is>
          <t>ACT</t>
        </is>
      </c>
      <c r="F20" s="24" t="inlineStr">
        <is>
          <t>JAC</t>
        </is>
      </c>
      <c r="G20" s="24" t="inlineStr">
        <is>
          <t>3</t>
        </is>
      </c>
      <c r="H20" s="25" t="n">
        <v>0.128</v>
      </c>
      <c r="I20" s="25" t="n"/>
      <c r="J20" s="25" t="n"/>
      <c r="K20" s="26" t="n"/>
      <c r="L20" s="25" t="n"/>
      <c r="M20" s="25" t="n">
        <v>0.0043</v>
      </c>
      <c r="N20" s="26" t="n"/>
      <c r="O20" s="25" t="n"/>
      <c r="P20" s="25" t="n"/>
      <c r="Q20" s="25" t="n">
        <v>0.0057</v>
      </c>
      <c r="R20" s="25" t="n">
        <v>0.0018</v>
      </c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0.0075</v>
      </c>
      <c r="AB20" s="29" t="n">
        <v>5.05</v>
      </c>
      <c r="AC20" s="28" t="n"/>
      <c r="AD20" s="28" t="n">
        <v>0.0074</v>
      </c>
      <c r="AE20" s="28" t="n">
        <v>0.8667</v>
      </c>
      <c r="AF20" s="29" t="n">
        <v>4.11</v>
      </c>
      <c r="AG20" s="28" t="n">
        <v>0.0404</v>
      </c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inlineStr">
        <is>
          <t>J'Mari Taylor</t>
        </is>
      </c>
      <c r="C21" s="35" t="n">
        <v>6</v>
      </c>
      <c r="D21" s="35" t="inlineStr">
        <is>
          <t>24</t>
        </is>
      </c>
      <c r="E21" s="42" t="inlineStr">
        <is>
          <t>ACT</t>
        </is>
      </c>
      <c r="F21" s="24" t="inlineStr"/>
      <c r="G21" s="24" t="inlineStr"/>
      <c r="H21" s="25" t="n"/>
      <c r="I21" s="25" t="n"/>
      <c r="J21" s="25" t="n"/>
      <c r="K21" s="26" t="n"/>
      <c r="L21" s="25" t="n"/>
      <c r="M21" s="25" t="n"/>
      <c r="N21" s="26" t="n"/>
      <c r="O21" s="25" t="n"/>
      <c r="P21" s="25" t="n"/>
      <c r="Q21" s="25" t="n"/>
      <c r="R21" s="25" t="n"/>
      <c r="S21" s="25" t="n"/>
      <c r="T21" s="26" t="n"/>
      <c r="U21" s="25" t="n"/>
      <c r="V21" s="25" t="n"/>
      <c r="W21" s="27" t="n">
        <v>17</v>
      </c>
      <c r="X21" s="28" t="n"/>
      <c r="Y21" s="28" t="n"/>
      <c r="Z21" s="28" t="n"/>
      <c r="AA21" s="28" t="n">
        <v>0.07820000000000001</v>
      </c>
      <c r="AB21" s="29" t="n">
        <v>4.13</v>
      </c>
      <c r="AC21" s="28" t="n"/>
      <c r="AD21" s="28" t="n">
        <v>0.0191</v>
      </c>
      <c r="AE21" s="28" t="n">
        <v>0.75</v>
      </c>
      <c r="AF21" s="29" t="n">
        <v>7.13</v>
      </c>
      <c r="AG21" s="28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Parker Washington</t>
        </is>
      </c>
      <c r="C23" s="35" t="n">
        <v>1</v>
      </c>
      <c r="D23" s="35" t="inlineStr">
        <is>
          <t>24</t>
        </is>
      </c>
      <c r="E23" s="42" t="inlineStr">
        <is>
          <t>ACT</t>
        </is>
      </c>
      <c r="F23" s="24" t="inlineStr">
        <is>
          <t>JAC</t>
        </is>
      </c>
      <c r="G23" s="24" t="inlineStr">
        <is>
          <t>16</t>
        </is>
      </c>
      <c r="H23" s="25" t="n">
        <v>0.55</v>
      </c>
      <c r="I23" s="25" t="n"/>
      <c r="J23" s="25" t="n"/>
      <c r="K23" s="26" t="n"/>
      <c r="L23" s="25" t="n"/>
      <c r="M23" s="25" t="n">
        <v>0.0149</v>
      </c>
      <c r="N23" s="26" t="n"/>
      <c r="O23" s="25" t="n">
        <v>0.0091</v>
      </c>
      <c r="P23" s="25" t="n"/>
      <c r="Q23" s="25" t="n">
        <v>0.0977</v>
      </c>
      <c r="R23" s="25" t="n">
        <v>0.1737</v>
      </c>
      <c r="S23" s="25" t="n">
        <v>0.635</v>
      </c>
      <c r="T23" s="26" t="n">
        <v>13.01</v>
      </c>
      <c r="U23" s="25" t="n">
        <v>0.1538</v>
      </c>
      <c r="V23" s="25" t="n">
        <v>0.1724</v>
      </c>
      <c r="W23" s="27" t="n">
        <v>17</v>
      </c>
      <c r="X23" s="28" t="n"/>
      <c r="Y23" s="28" t="n"/>
      <c r="Z23" s="28" t="n"/>
      <c r="AA23" s="28" t="n">
        <v>0.012</v>
      </c>
      <c r="AB23" s="29" t="n"/>
      <c r="AC23" s="28" t="n"/>
      <c r="AD23" s="28" t="n">
        <v>0.1473</v>
      </c>
      <c r="AE23" s="28" t="n">
        <v>0.6346000000000001</v>
      </c>
      <c r="AF23" s="29" t="n">
        <v>12.92</v>
      </c>
      <c r="AG23" s="28" t="n">
        <v>0.1337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Brian Thomas</t>
        </is>
      </c>
      <c r="C24" s="22" t="n">
        <v>2</v>
      </c>
      <c r="D24" s="22" t="inlineStr">
        <is>
          <t>23</t>
        </is>
      </c>
      <c r="E24" s="41" t="inlineStr">
        <is>
          <t>QUESTIONABLE</t>
        </is>
      </c>
      <c r="F24" s="24" t="inlineStr">
        <is>
          <t>JAC</t>
        </is>
      </c>
      <c r="G24" s="24" t="inlineStr">
        <is>
          <t>14</t>
        </is>
      </c>
      <c r="H24" s="25" t="n">
        <v>0.783</v>
      </c>
      <c r="I24" s="25" t="n"/>
      <c r="J24" s="25" t="n"/>
      <c r="K24" s="26" t="n"/>
      <c r="L24" s="25" t="n"/>
      <c r="M24" s="25" t="n">
        <v>0.0064</v>
      </c>
      <c r="N24" s="26" t="n"/>
      <c r="O24" s="25" t="n">
        <v>0.0091</v>
      </c>
      <c r="P24" s="25" t="n">
        <v>0.0455</v>
      </c>
      <c r="Q24" s="25" t="n">
        <v>0.2548</v>
      </c>
      <c r="R24" s="25" t="n">
        <v>0.1664</v>
      </c>
      <c r="S24" s="25" t="n">
        <v>0.581</v>
      </c>
      <c r="T24" s="26" t="n">
        <v>14.73</v>
      </c>
      <c r="U24" s="25" t="n">
        <v>0.0769</v>
      </c>
      <c r="V24" s="25" t="n">
        <v>0.06900000000000001</v>
      </c>
      <c r="W24" s="27" t="n">
        <v>17</v>
      </c>
      <c r="X24" s="28" t="n"/>
      <c r="Y24" s="28" t="n"/>
      <c r="Z24" s="28" t="n"/>
      <c r="AA24" s="28" t="n">
        <v>0.0171</v>
      </c>
      <c r="AB24" s="29" t="n"/>
      <c r="AC24" s="28" t="n">
        <v>0.041</v>
      </c>
      <c r="AD24" s="28" t="n">
        <v>0.2311</v>
      </c>
      <c r="AE24" s="28" t="n">
        <v>0.5809</v>
      </c>
      <c r="AF24" s="29" t="n">
        <v>14.73</v>
      </c>
      <c r="AG24" s="28" t="n">
        <v>0.222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Jakobi Meyers</t>
        </is>
      </c>
      <c r="C25" s="35" t="n">
        <v>3</v>
      </c>
      <c r="D25" s="35" t="inlineStr">
        <is>
          <t>29</t>
        </is>
      </c>
      <c r="E25" s="36" t="inlineStr">
        <is>
          <t>QUESTIONABLE</t>
        </is>
      </c>
      <c r="F25" s="24" t="inlineStr">
        <is>
          <t>LV</t>
        </is>
      </c>
      <c r="G25" s="24" t="inlineStr">
        <is>
          <t>7</t>
        </is>
      </c>
      <c r="H25" s="25" t="n">
        <v>0.88</v>
      </c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>
        <v>0.2179</v>
      </c>
      <c r="R25" s="25" t="n">
        <v>0.0992</v>
      </c>
      <c r="S25" s="25" t="n">
        <v>0.673</v>
      </c>
      <c r="T25" s="26" t="n">
        <v>11.32</v>
      </c>
      <c r="U25" s="25" t="n">
        <v>0.0877</v>
      </c>
      <c r="V25" s="25" t="n"/>
      <c r="W25" s="27" t="n">
        <v>17</v>
      </c>
      <c r="X25" s="28" t="n"/>
      <c r="Y25" s="28" t="n"/>
      <c r="Z25" s="28" t="n"/>
      <c r="AA25" s="28" t="n">
        <v>0.0026</v>
      </c>
      <c r="AB25" s="29" t="n"/>
      <c r="AC25" s="28" t="n">
        <v>0.1637</v>
      </c>
      <c r="AD25" s="28" t="n">
        <v>0.0558</v>
      </c>
      <c r="AE25" s="28" t="n">
        <v>0.6728</v>
      </c>
      <c r="AF25" s="29" t="n">
        <v>11.45</v>
      </c>
      <c r="AG25" s="28" t="n">
        <v>0.2454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Travis Hunter</t>
        </is>
      </c>
      <c r="C26" s="22" t="n">
        <v>4</v>
      </c>
      <c r="D26" s="22" t="inlineStr">
        <is>
          <t>23</t>
        </is>
      </c>
      <c r="E26" s="23" t="inlineStr">
        <is>
          <t>ACT</t>
        </is>
      </c>
      <c r="F26" s="24" t="inlineStr">
        <is>
          <t>JAC</t>
        </is>
      </c>
      <c r="G26" s="24" t="inlineStr">
        <is>
          <t>7</t>
        </is>
      </c>
      <c r="H26" s="25" t="n">
        <v>0.663</v>
      </c>
      <c r="I26" s="25" t="n"/>
      <c r="J26" s="25" t="n"/>
      <c r="K26" s="26" t="n"/>
      <c r="L26" s="25" t="n"/>
      <c r="M26" s="25" t="n">
        <v>0.0021</v>
      </c>
      <c r="N26" s="26" t="n"/>
      <c r="O26" s="25" t="n">
        <v>0.0091</v>
      </c>
      <c r="P26" s="25" t="n"/>
      <c r="Q26" s="25" t="n"/>
      <c r="R26" s="25" t="n">
        <v>0.0823</v>
      </c>
      <c r="S26" s="25" t="n">
        <v>0.622</v>
      </c>
      <c r="T26" s="26" t="n">
        <v>10.64</v>
      </c>
      <c r="U26" s="25" t="n">
        <v>0.0641</v>
      </c>
      <c r="V26" s="25" t="n">
        <v>0.0345</v>
      </c>
      <c r="W26" s="27" t="n">
        <v>17</v>
      </c>
      <c r="X26" s="28" t="n"/>
      <c r="Y26" s="28" t="n"/>
      <c r="Z26" s="28" t="n"/>
      <c r="AA26" s="28" t="n">
        <v>0.0024</v>
      </c>
      <c r="AB26" s="29" t="n"/>
      <c r="AC26" s="28" t="n"/>
      <c r="AD26" s="28" t="n">
        <v>0.0654</v>
      </c>
      <c r="AE26" s="28" t="n">
        <v>0.6222</v>
      </c>
      <c r="AF26" s="29" t="n">
        <v>10.64</v>
      </c>
      <c r="AG26" s="28" t="n">
        <v>0.0293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Josh Cameron</t>
        </is>
      </c>
      <c r="C27" s="35" t="n">
        <v>5</v>
      </c>
      <c r="D27" s="35" t="inlineStr">
        <is>
          <t>23</t>
        </is>
      </c>
      <c r="E27" s="42" t="inlineStr">
        <is>
          <t>ACT</t>
        </is>
      </c>
      <c r="F27" s="24" t="inlineStr"/>
      <c r="G27" s="24" t="inlineStr"/>
      <c r="H27" s="25" t="n"/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/>
      <c r="R27" s="25" t="n"/>
      <c r="S27" s="25" t="n"/>
      <c r="T27" s="26" t="n"/>
      <c r="U27" s="25" t="n"/>
      <c r="V27" s="25" t="n"/>
      <c r="W27" s="27" t="n">
        <v>17</v>
      </c>
      <c r="X27" s="28" t="n"/>
      <c r="Y27" s="28" t="n"/>
      <c r="Z27" s="28" t="n"/>
      <c r="AA27" s="28" t="n">
        <v>0.0026</v>
      </c>
      <c r="AB27" s="29" t="n"/>
      <c r="AC27" s="28" t="n"/>
      <c r="AD27" s="28" t="n">
        <v>0.0285</v>
      </c>
      <c r="AE27" s="28" t="n">
        <v>0.65</v>
      </c>
      <c r="AF27" s="29" t="n">
        <v>12.84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CJ Williams</t>
        </is>
      </c>
      <c r="C28" s="22" t="n">
        <v>6</v>
      </c>
      <c r="D28" s="22" t="inlineStr">
        <is>
          <t>22</t>
        </is>
      </c>
      <c r="E28" s="23" t="inlineStr">
        <is>
          <t>ACT</t>
        </is>
      </c>
      <c r="F28" s="24" t="inlineStr"/>
      <c r="G28" s="24" t="inlineStr"/>
      <c r="H28" s="25" t="n"/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/>
      <c r="R28" s="25" t="n"/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0.0025</v>
      </c>
      <c r="AB28" s="29" t="n"/>
      <c r="AC28" s="28" t="n"/>
      <c r="AD28" s="28" t="n">
        <v>0.008</v>
      </c>
      <c r="AE28" s="28" t="n">
        <v>0.65</v>
      </c>
      <c r="AF28" s="29" t="n">
        <v>12.84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Tim Jones</t>
        </is>
      </c>
      <c r="C29" s="35" t="n">
        <v>7</v>
      </c>
      <c r="D29" s="35" t="inlineStr">
        <is>
          <t>28</t>
        </is>
      </c>
      <c r="E29" s="42" t="inlineStr">
        <is>
          <t>ACT</t>
        </is>
      </c>
      <c r="F29" s="24" t="inlineStr">
        <is>
          <t>JAC</t>
        </is>
      </c>
      <c r="G29" s="24" t="inlineStr">
        <is>
          <t>2</t>
        </is>
      </c>
      <c r="H29" s="25" t="n">
        <v>0.16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>
        <v>0.009599999999999999</v>
      </c>
      <c r="R29" s="25" t="n">
        <v>0.0018</v>
      </c>
      <c r="S29" s="25" t="n">
        <v>0.611</v>
      </c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0.001</v>
      </c>
      <c r="AB29" s="29" t="n"/>
      <c r="AC29" s="28" t="n"/>
      <c r="AD29" s="28" t="n">
        <v>0.0139</v>
      </c>
      <c r="AE29" s="28" t="n">
        <v>0.6461</v>
      </c>
      <c r="AF29" s="29" t="n">
        <v>12.84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Austin Trammell</t>
        </is>
      </c>
      <c r="C30" s="22" t="n">
        <v>8</v>
      </c>
      <c r="D30" s="22" t="inlineStr">
        <is>
          <t>28</t>
        </is>
      </c>
      <c r="E30" s="23" t="inlineStr">
        <is>
          <t>ACT</t>
        </is>
      </c>
      <c r="F30" s="24" t="inlineStr">
        <is>
          <t>JAC</t>
        </is>
      </c>
      <c r="G30" s="24" t="inlineStr">
        <is>
          <t>6</t>
        </is>
      </c>
      <c r="H30" s="25" t="n">
        <v>0.313</v>
      </c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>
        <v>0.0057</v>
      </c>
      <c r="R30" s="25" t="n">
        <v>0.0183</v>
      </c>
      <c r="S30" s="25" t="n"/>
      <c r="T30" s="26" t="n"/>
      <c r="U30" s="25" t="n">
        <v>0.0128</v>
      </c>
      <c r="V30" s="25" t="n"/>
      <c r="W30" s="27" t="n">
        <v>17</v>
      </c>
      <c r="X30" s="28" t="n"/>
      <c r="Y30" s="28" t="n"/>
      <c r="Z30" s="28" t="n"/>
      <c r="AA30" s="28" t="n">
        <v>0.0009</v>
      </c>
      <c r="AB30" s="29" t="n"/>
      <c r="AC30" s="28" t="n"/>
      <c r="AD30" s="28" t="n">
        <v>0.0122</v>
      </c>
      <c r="AE30" s="28" t="n">
        <v>0.4505</v>
      </c>
      <c r="AF30" s="29" t="n">
        <v>12.78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Brenton Strange</t>
        </is>
      </c>
      <c r="C32" s="22" t="n">
        <v>1</v>
      </c>
      <c r="D32" s="22" t="inlineStr">
        <is>
          <t>25</t>
        </is>
      </c>
      <c r="E32" s="23" t="inlineStr">
        <is>
          <t>ACT</t>
        </is>
      </c>
      <c r="F32" s="24" t="inlineStr">
        <is>
          <t>JAC</t>
        </is>
      </c>
      <c r="G32" s="24" t="inlineStr">
        <is>
          <t>12</t>
        </is>
      </c>
      <c r="H32" s="25" t="n">
        <v>0.601</v>
      </c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>
        <v>0.1015</v>
      </c>
      <c r="R32" s="25" t="n">
        <v>0.1097</v>
      </c>
      <c r="S32" s="25" t="n">
        <v>0.761</v>
      </c>
      <c r="T32" s="26" t="n">
        <v>11.07</v>
      </c>
      <c r="U32" s="25" t="n">
        <v>0.1154</v>
      </c>
      <c r="V32" s="25" t="n">
        <v>0.1034</v>
      </c>
      <c r="W32" s="27" t="n">
        <v>17</v>
      </c>
      <c r="X32" s="28" t="n"/>
      <c r="Y32" s="28" t="n"/>
      <c r="Z32" s="28" t="n"/>
      <c r="AA32" s="28" t="n">
        <v>0.0011</v>
      </c>
      <c r="AB32" s="29" t="n"/>
      <c r="AC32" s="28" t="n"/>
      <c r="AD32" s="28" t="n">
        <v>0.1245</v>
      </c>
      <c r="AE32" s="28" t="n">
        <v>0.7198</v>
      </c>
      <c r="AF32" s="29" t="n">
        <v>10.84</v>
      </c>
      <c r="AG32" s="28" t="n">
        <v>0.0784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Nate Boerkircher</t>
        </is>
      </c>
      <c r="C33" s="35" t="n">
        <v>2</v>
      </c>
      <c r="D33" s="35" t="inlineStr">
        <is>
          <t>24</t>
        </is>
      </c>
      <c r="E33" s="42" t="inlineStr">
        <is>
          <t>ACT</t>
        </is>
      </c>
      <c r="F33" s="24" t="inlineStr"/>
      <c r="G33" s="24" t="inlineStr"/>
      <c r="H33" s="25" t="n"/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/>
      <c r="R33" s="25" t="n"/>
      <c r="S33" s="25" t="n"/>
      <c r="T33" s="26" t="n"/>
      <c r="U33" s="25" t="n"/>
      <c r="V33" s="25" t="n"/>
      <c r="W33" s="27" t="n">
        <v>17</v>
      </c>
      <c r="X33" s="28" t="n"/>
      <c r="Y33" s="28" t="n"/>
      <c r="Z33" s="28" t="n"/>
      <c r="AA33" s="28" t="n">
        <v>0.0025</v>
      </c>
      <c r="AB33" s="29" t="n"/>
      <c r="AC33" s="28" t="n"/>
      <c r="AD33" s="28" t="n">
        <v>0.0555</v>
      </c>
      <c r="AE33" s="28" t="n">
        <v>0.65</v>
      </c>
      <c r="AF33" s="29" t="n">
        <v>10.32</v>
      </c>
      <c r="AG33" s="28" t="n"/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Tanner Koziol</t>
        </is>
      </c>
      <c r="C34" s="22" t="n">
        <v>3</v>
      </c>
      <c r="D34" s="22" t="inlineStr">
        <is>
          <t>22</t>
        </is>
      </c>
      <c r="E34" s="23" t="inlineStr">
        <is>
          <t>ACT</t>
        </is>
      </c>
      <c r="F34" s="24" t="inlineStr"/>
      <c r="G34" s="24" t="inlineStr"/>
      <c r="H34" s="25" t="n"/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/>
      <c r="R34" s="25" t="n"/>
      <c r="S34" s="25" t="n"/>
      <c r="T34" s="26" t="n"/>
      <c r="U34" s="25" t="n"/>
      <c r="V34" s="25" t="n"/>
      <c r="W34" s="27" t="n">
        <v>17</v>
      </c>
      <c r="X34" s="28" t="n"/>
      <c r="Y34" s="28" t="n"/>
      <c r="Z34" s="28" t="n"/>
      <c r="AA34" s="28" t="n">
        <v>0.0025</v>
      </c>
      <c r="AB34" s="29" t="n"/>
      <c r="AC34" s="28" t="n"/>
      <c r="AD34" s="28" t="n">
        <v>0.009900000000000001</v>
      </c>
      <c r="AE34" s="28" t="n">
        <v>0.65</v>
      </c>
      <c r="AF34" s="29" t="n">
        <v>10.32</v>
      </c>
      <c r="AG34" s="28" t="n"/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Quintin Morris</t>
        </is>
      </c>
      <c r="C35" s="35" t="n">
        <v>4</v>
      </c>
      <c r="D35" s="35" t="inlineStr">
        <is>
          <t>27</t>
        </is>
      </c>
      <c r="E35" s="42" t="inlineStr">
        <is>
          <t>ACT</t>
        </is>
      </c>
      <c r="F35" s="24" t="inlineStr">
        <is>
          <t>JAC</t>
        </is>
      </c>
      <c r="G35" s="24" t="inlineStr">
        <is>
          <t>14</t>
        </is>
      </c>
      <c r="H35" s="25" t="n">
        <v>0.236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>
        <v>0.0162</v>
      </c>
      <c r="R35" s="25" t="n">
        <v>0.0165</v>
      </c>
      <c r="S35" s="25" t="n"/>
      <c r="T35" s="26" t="n"/>
      <c r="U35" s="25" t="n">
        <v>0.0256</v>
      </c>
      <c r="V35" s="25" t="n">
        <v>0.0345</v>
      </c>
      <c r="W35" s="27" t="n">
        <v>17</v>
      </c>
      <c r="X35" s="28" t="n"/>
      <c r="Y35" s="28" t="n"/>
      <c r="Z35" s="28" t="n"/>
      <c r="AA35" s="28" t="n">
        <v>0.001</v>
      </c>
      <c r="AB35" s="29" t="n"/>
      <c r="AC35" s="28" t="n"/>
      <c r="AD35" s="28" t="n">
        <v>0.0135</v>
      </c>
      <c r="AE35" s="28" t="n">
        <v>0.6532</v>
      </c>
      <c r="AF35" s="29" t="n">
        <v>10.32</v>
      </c>
      <c r="AG35" s="28" t="n">
        <v>0.0298</v>
      </c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KC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1065</v>
      </c>
      <c r="D4" s="10">
        <f>$C$4/$B$4</f>
        <v/>
      </c>
      <c r="E4" s="11" t="n">
        <v>0.5873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1061</v>
      </c>
      <c r="M4" s="14" t="n">
        <v>62.4118</v>
      </c>
      <c r="N4" s="15" t="n">
        <v>0.5947</v>
      </c>
      <c r="O4" s="13" t="n">
        <v>584</v>
      </c>
      <c r="P4" s="13" t="n">
        <v>430</v>
      </c>
      <c r="Q4" s="16" t="n">
        <v>6.7586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42.6</v>
      </c>
      <c r="C7" s="11" t="n">
        <v>0.359</v>
      </c>
      <c r="D7" s="10">
        <f>$B$7*$C$7</f>
        <v/>
      </c>
      <c r="E7" s="10">
        <f>$B$7-$D$7</f>
        <v/>
      </c>
      <c r="F7" s="12" t="n">
        <v>4013</v>
      </c>
      <c r="G7" s="12" t="n">
        <v>1852</v>
      </c>
      <c r="H7" s="12">
        <f>$F$7</f>
        <v/>
      </c>
      <c r="L7" s="13" t="n">
        <v>3947</v>
      </c>
      <c r="M7" s="13" t="n">
        <v>1812</v>
      </c>
      <c r="N7" s="14" t="n">
        <v>23</v>
      </c>
      <c r="O7" s="14" t="n">
        <v>15</v>
      </c>
      <c r="P7" s="14" t="n">
        <v>38</v>
      </c>
      <c r="Q7" s="15" t="n">
        <v>0.3947368421052632</v>
      </c>
    </row>
    <row r="8"/>
    <row r="9">
      <c r="A9" s="5" t="inlineStr">
        <is>
          <t>NOTES</t>
        </is>
      </c>
      <c r="B9" s="18" t="inlineStr">
        <is>
          <t>31% of targets and 70% of carries left this roster.  HC unchanged. OC Eric Bieniemy under Andy Reid. Focus on developing an explosive run game.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Patrick Mahomes</t>
        </is>
      </c>
      <c r="C12" s="22" t="n">
        <v>1</v>
      </c>
      <c r="D12" s="22" t="inlineStr">
        <is>
          <t>30</t>
        </is>
      </c>
      <c r="E12" s="41" t="inlineStr">
        <is>
          <t>QUESTIONABLE</t>
        </is>
      </c>
      <c r="F12" s="24" t="inlineStr">
        <is>
          <t>KC</t>
        </is>
      </c>
      <c r="G12" s="24" t="inlineStr">
        <is>
          <t>14</t>
        </is>
      </c>
      <c r="H12" s="25" t="n">
        <v>0.982</v>
      </c>
      <c r="I12" s="25" t="n">
        <v>0.8596</v>
      </c>
      <c r="J12" s="25" t="n">
        <v>0.652</v>
      </c>
      <c r="K12" s="26" t="n">
        <v>6.99</v>
      </c>
      <c r="L12" s="25" t="n">
        <v>0.021</v>
      </c>
      <c r="M12" s="25" t="n">
        <v>0.1343</v>
      </c>
      <c r="N12" s="26" t="n">
        <v>7.64</v>
      </c>
      <c r="O12" s="25" t="n">
        <v>0.1667</v>
      </c>
      <c r="P12" s="25" t="n">
        <v>0.3333</v>
      </c>
      <c r="Q12" s="25" t="n">
        <v>0.0017</v>
      </c>
      <c r="R12" s="25" t="n">
        <v>0.0018</v>
      </c>
      <c r="S12" s="25" t="n"/>
      <c r="T12" s="26" t="n"/>
      <c r="U12" s="25" t="n"/>
      <c r="V12" s="25" t="n"/>
      <c r="W12" s="27" t="n">
        <v>17</v>
      </c>
      <c r="X12" s="28" t="n">
        <v>0.8268</v>
      </c>
      <c r="Y12" s="28" t="n">
        <v>0.652</v>
      </c>
      <c r="Z12" s="28" t="n">
        <v>0.021</v>
      </c>
      <c r="AA12" s="28" t="n">
        <v>0.1084</v>
      </c>
      <c r="AB12" s="29" t="n">
        <v>4.5</v>
      </c>
      <c r="AC12" s="28" t="n">
        <v>0.1905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Justin Fields</t>
        </is>
      </c>
      <c r="C13" s="35" t="n">
        <v>2</v>
      </c>
      <c r="D13" s="35" t="inlineStr">
        <is>
          <t>27</t>
        </is>
      </c>
      <c r="E13" s="42" t="inlineStr">
        <is>
          <t>ACT</t>
        </is>
      </c>
      <c r="F13" s="24" t="inlineStr">
        <is>
          <t>NYJ</t>
        </is>
      </c>
      <c r="G13" s="24" t="inlineStr">
        <is>
          <t>9</t>
        </is>
      </c>
      <c r="H13" s="25" t="n">
        <v>0.826</v>
      </c>
      <c r="I13" s="25" t="n">
        <v>0.413</v>
      </c>
      <c r="J13" s="25" t="n">
        <v>0.633</v>
      </c>
      <c r="K13" s="26" t="n">
        <v>6.57</v>
      </c>
      <c r="L13" s="25" t="n">
        <v>0.01</v>
      </c>
      <c r="M13" s="25" t="n">
        <v>0.1489</v>
      </c>
      <c r="N13" s="26" t="n">
        <v>5.47</v>
      </c>
      <c r="O13" s="25" t="n">
        <v>0.2075</v>
      </c>
      <c r="P13" s="25" t="n">
        <v>0.3636</v>
      </c>
      <c r="Q13" s="25" t="n"/>
      <c r="R13" s="25" t="n">
        <v>0.0021</v>
      </c>
      <c r="S13" s="25" t="n"/>
      <c r="T13" s="26" t="n"/>
      <c r="U13" s="25" t="n">
        <v>0.0213</v>
      </c>
      <c r="V13" s="25" t="n"/>
      <c r="W13" s="27" t="n">
        <v>17</v>
      </c>
      <c r="X13" s="28" t="n">
        <v>0.0725</v>
      </c>
      <c r="Y13" s="28" t="n">
        <v>0.633</v>
      </c>
      <c r="Z13" s="28" t="n">
        <v>0.01</v>
      </c>
      <c r="AA13" s="28" t="n">
        <v>0.0122</v>
      </c>
      <c r="AB13" s="29" t="n">
        <v>5.49</v>
      </c>
      <c r="AC13" s="28" t="n">
        <v>0.2513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Garrett Nussmeier</t>
        </is>
      </c>
      <c r="C14" s="22" t="n">
        <v>3</v>
      </c>
      <c r="D14" s="22" t="inlineStr">
        <is>
          <t>24</t>
        </is>
      </c>
      <c r="E14" s="23" t="inlineStr">
        <is>
          <t>ACT</t>
        </is>
      </c>
      <c r="F14" s="24" t="inlineStr"/>
      <c r="G14" s="24" t="inlineStr"/>
      <c r="H14" s="25" t="n"/>
      <c r="I14" s="25" t="n"/>
      <c r="J14" s="25" t="n"/>
      <c r="K14" s="26" t="n"/>
      <c r="L14" s="25" t="n"/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0.0465</v>
      </c>
      <c r="Y14" s="28" t="n">
        <v>0.65</v>
      </c>
      <c r="Z14" s="28" t="n">
        <v>0.022</v>
      </c>
      <c r="AA14" s="28" t="n">
        <v>0.006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Kenneth Walker</t>
        </is>
      </c>
      <c r="C16" s="22" t="n">
        <v>1</v>
      </c>
      <c r="D16" s="22" t="inlineStr">
        <is>
          <t>25</t>
        </is>
      </c>
      <c r="E16" s="41" t="inlineStr">
        <is>
          <t>QUESTIONABLE</t>
        </is>
      </c>
      <c r="F16" s="24" t="inlineStr">
        <is>
          <t>SEA</t>
        </is>
      </c>
      <c r="G16" s="24" t="inlineStr">
        <is>
          <t>17</t>
        </is>
      </c>
      <c r="H16" s="25" t="n">
        <v>0.533</v>
      </c>
      <c r="I16" s="25" t="n"/>
      <c r="J16" s="25" t="n"/>
      <c r="K16" s="26" t="n"/>
      <c r="L16" s="25" t="n"/>
      <c r="M16" s="25" t="n">
        <v>0.451</v>
      </c>
      <c r="N16" s="26" t="n">
        <v>4.34</v>
      </c>
      <c r="O16" s="25" t="n">
        <v>0.3298</v>
      </c>
      <c r="P16" s="25" t="n">
        <v>0.2632</v>
      </c>
      <c r="Q16" s="25" t="n">
        <v>0.0931</v>
      </c>
      <c r="R16" s="25" t="n">
        <v>0.0791</v>
      </c>
      <c r="S16" s="25" t="n">
        <v>0.847</v>
      </c>
      <c r="T16" s="26" t="n">
        <v>8.48</v>
      </c>
      <c r="U16" s="25" t="n">
        <v>0.0484</v>
      </c>
      <c r="V16" s="25" t="n"/>
      <c r="W16" s="27" t="n">
        <v>17</v>
      </c>
      <c r="X16" s="28" t="n"/>
      <c r="Y16" s="28" t="n"/>
      <c r="Z16" s="28" t="n"/>
      <c r="AA16" s="28" t="n">
        <v>0.4581</v>
      </c>
      <c r="AB16" s="29" t="n">
        <v>4.22</v>
      </c>
      <c r="AC16" s="28" t="n">
        <v>0.2951</v>
      </c>
      <c r="AD16" s="28" t="n">
        <v>0.08840000000000001</v>
      </c>
      <c r="AE16" s="28" t="n">
        <v>0.847</v>
      </c>
      <c r="AF16" s="29" t="n">
        <v>7.92</v>
      </c>
      <c r="AG16" s="28" t="n">
        <v>0.0455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Emmett Johnson</t>
        </is>
      </c>
      <c r="C17" s="35" t="n">
        <v>2</v>
      </c>
      <c r="D17" s="35" t="inlineStr">
        <is>
          <t>22</t>
        </is>
      </c>
      <c r="E17" s="42" t="inlineStr">
        <is>
          <t>ACT</t>
        </is>
      </c>
      <c r="F17" s="24" t="inlineStr"/>
      <c r="G17" s="24" t="inlineStr"/>
      <c r="H17" s="25" t="n"/>
      <c r="I17" s="25" t="n"/>
      <c r="J17" s="25" t="n"/>
      <c r="K17" s="26" t="n"/>
      <c r="L17" s="25" t="n"/>
      <c r="M17" s="25" t="n"/>
      <c r="N17" s="26" t="n"/>
      <c r="O17" s="25" t="n"/>
      <c r="P17" s="25" t="n"/>
      <c r="Q17" s="25" t="n"/>
      <c r="R17" s="25" t="n"/>
      <c r="S17" s="25" t="n"/>
      <c r="T17" s="26" t="n"/>
      <c r="U17" s="25" t="n"/>
      <c r="V17" s="25" t="n"/>
      <c r="W17" s="27" t="n">
        <v>17</v>
      </c>
      <c r="X17" s="28" t="n"/>
      <c r="Y17" s="28" t="n"/>
      <c r="Z17" s="28" t="n"/>
      <c r="AA17" s="28" t="n">
        <v>0.0801</v>
      </c>
      <c r="AB17" s="29" t="n">
        <v>4.13</v>
      </c>
      <c r="AC17" s="28" t="n"/>
      <c r="AD17" s="28" t="n">
        <v>0.0293</v>
      </c>
      <c r="AE17" s="28" t="n">
        <v>0.75</v>
      </c>
      <c r="AF17" s="29" t="n">
        <v>7.13</v>
      </c>
      <c r="AG17" s="28" t="n"/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Brashard Smith</t>
        </is>
      </c>
      <c r="C18" s="22" t="n">
        <v>3</v>
      </c>
      <c r="D18" s="22" t="inlineStr">
        <is>
          <t>23</t>
        </is>
      </c>
      <c r="E18" s="23" t="inlineStr">
        <is>
          <t>ACT</t>
        </is>
      </c>
      <c r="F18" s="24" t="inlineStr">
        <is>
          <t>KC</t>
        </is>
      </c>
      <c r="G18" s="24" t="inlineStr">
        <is>
          <t>17</t>
        </is>
      </c>
      <c r="H18" s="25" t="n">
        <v>0.167</v>
      </c>
      <c r="I18" s="25" t="n"/>
      <c r="J18" s="25" t="n"/>
      <c r="K18" s="26" t="n"/>
      <c r="L18" s="25" t="n"/>
      <c r="M18" s="25" t="n">
        <v>0.1055</v>
      </c>
      <c r="N18" s="26" t="n">
        <v>3.43</v>
      </c>
      <c r="O18" s="25" t="n">
        <v>0.119</v>
      </c>
      <c r="P18" s="25" t="n"/>
      <c r="Q18" s="25" t="n"/>
      <c r="R18" s="25" t="n">
        <v>0.0638</v>
      </c>
      <c r="S18" s="25" t="n">
        <v>0.714</v>
      </c>
      <c r="T18" s="26" t="n">
        <v>6.88</v>
      </c>
      <c r="U18" s="25" t="n">
        <v>0.0896</v>
      </c>
      <c r="V18" s="25" t="n">
        <v>0.0435</v>
      </c>
      <c r="W18" s="27" t="n">
        <v>17</v>
      </c>
      <c r="X18" s="28" t="n"/>
      <c r="Y18" s="28" t="n"/>
      <c r="Z18" s="28" t="n"/>
      <c r="AA18" s="28" t="n">
        <v>0.0562</v>
      </c>
      <c r="AB18" s="29" t="n">
        <v>3.43</v>
      </c>
      <c r="AC18" s="28" t="n"/>
      <c r="AD18" s="28" t="n">
        <v>0.0447</v>
      </c>
      <c r="AE18" s="28" t="n">
        <v>0.7143</v>
      </c>
      <c r="AF18" s="29" t="n">
        <v>6.88</v>
      </c>
      <c r="AG18" s="28" t="n">
        <v>0.0434</v>
      </c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Elijah McGuire</t>
        </is>
      </c>
      <c r="C19" s="35" t="n">
        <v>4</v>
      </c>
      <c r="D19" s="35" t="inlineStr">
        <is>
          <t>27</t>
        </is>
      </c>
      <c r="E19" s="42" t="inlineStr">
        <is>
          <t>ACT</t>
        </is>
      </c>
      <c r="F19" s="24" t="inlineStr"/>
      <c r="G19" s="24" t="inlineStr"/>
      <c r="H19" s="25" t="n"/>
      <c r="I19" s="25" t="n"/>
      <c r="J19" s="25" t="n"/>
      <c r="K19" s="26" t="n"/>
      <c r="L19" s="25" t="n"/>
      <c r="M19" s="25" t="n"/>
      <c r="N19" s="26" t="n"/>
      <c r="O19" s="25" t="n"/>
      <c r="P19" s="25" t="n"/>
      <c r="Q19" s="25" t="n"/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0.0299</v>
      </c>
      <c r="AB19" s="29" t="n">
        <v>4.13</v>
      </c>
      <c r="AC19" s="28" t="n"/>
      <c r="AD19" s="28" t="n">
        <v>0.0097</v>
      </c>
      <c r="AE19" s="28" t="n">
        <v>0.75</v>
      </c>
      <c r="AF19" s="29" t="n">
        <v>7.13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Terion Stewart</t>
        </is>
      </c>
      <c r="C20" s="22" t="n">
        <v>5</v>
      </c>
      <c r="D20" s="22" t="inlineStr">
        <is>
          <t>24</t>
        </is>
      </c>
      <c r="E20" s="23" t="inlineStr">
        <is>
          <t>ACT</t>
        </is>
      </c>
      <c r="F20" s="24" t="inlineStr"/>
      <c r="G20" s="24" t="inlineStr"/>
      <c r="H20" s="25" t="n"/>
      <c r="I20" s="25" t="n"/>
      <c r="J20" s="25" t="n"/>
      <c r="K20" s="26" t="n"/>
      <c r="L20" s="25" t="n"/>
      <c r="M20" s="25" t="n"/>
      <c r="N20" s="26" t="n"/>
      <c r="O20" s="25" t="n"/>
      <c r="P20" s="25" t="n"/>
      <c r="Q20" s="25" t="n"/>
      <c r="R20" s="25" t="n"/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0.0103</v>
      </c>
      <c r="AB20" s="29" t="n">
        <v>4.13</v>
      </c>
      <c r="AC20" s="28" t="n"/>
      <c r="AD20" s="28" t="n">
        <v>0.0036</v>
      </c>
      <c r="AE20" s="28" t="n">
        <v>0.75</v>
      </c>
      <c r="AF20" s="29" t="n">
        <v>7.13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Rashee Rice</t>
        </is>
      </c>
      <c r="C23" s="35" t="n">
        <v>1</v>
      </c>
      <c r="D23" s="35" t="inlineStr">
        <is>
          <t>26</t>
        </is>
      </c>
      <c r="E23" s="42" t="inlineStr">
        <is>
          <t>ACT</t>
        </is>
      </c>
      <c r="F23" s="24" t="inlineStr">
        <is>
          <t>KC</t>
        </is>
      </c>
      <c r="G23" s="24" t="inlineStr">
        <is>
          <t>8</t>
        </is>
      </c>
      <c r="H23" s="25" t="n">
        <v>0.672</v>
      </c>
      <c r="I23" s="25" t="n"/>
      <c r="J23" s="25" t="n"/>
      <c r="K23" s="26" t="n"/>
      <c r="L23" s="25" t="n"/>
      <c r="M23" s="25" t="n">
        <v>0.012</v>
      </c>
      <c r="N23" s="26" t="n"/>
      <c r="O23" s="25" t="n">
        <v>0.0357</v>
      </c>
      <c r="P23" s="25" t="n">
        <v>0.0667</v>
      </c>
      <c r="Q23" s="25" t="n">
        <v>0.0507</v>
      </c>
      <c r="R23" s="25" t="n">
        <v>0.1421</v>
      </c>
      <c r="S23" s="25" t="n">
        <v>0.737</v>
      </c>
      <c r="T23" s="26" t="n">
        <v>11.37</v>
      </c>
      <c r="U23" s="25" t="n">
        <v>0.2687</v>
      </c>
      <c r="V23" s="25" t="n">
        <v>0.2174</v>
      </c>
      <c r="W23" s="27" t="n">
        <v>17</v>
      </c>
      <c r="X23" s="28" t="n"/>
      <c r="Y23" s="28" t="n"/>
      <c r="Z23" s="28" t="n"/>
      <c r="AA23" s="28" t="n">
        <v>0.0176</v>
      </c>
      <c r="AB23" s="29" t="n">
        <v>2.57</v>
      </c>
      <c r="AC23" s="28" t="n">
        <v>0.0504</v>
      </c>
      <c r="AD23" s="28" t="n">
        <v>0.1718</v>
      </c>
      <c r="AE23" s="28" t="n">
        <v>0.7368</v>
      </c>
      <c r="AF23" s="29" t="n">
        <v>11.52</v>
      </c>
      <c r="AG23" s="28" t="n">
        <v>0.2094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Xavier Worthy</t>
        </is>
      </c>
      <c r="C24" s="22" t="n">
        <v>2</v>
      </c>
      <c r="D24" s="22" t="inlineStr">
        <is>
          <t>23</t>
        </is>
      </c>
      <c r="E24" s="23" t="inlineStr">
        <is>
          <t>ACT</t>
        </is>
      </c>
      <c r="F24" s="24" t="inlineStr">
        <is>
          <t>KC</t>
        </is>
      </c>
      <c r="G24" s="24" t="inlineStr">
        <is>
          <t>14</t>
        </is>
      </c>
      <c r="H24" s="25" t="n">
        <v>0.6820000000000001</v>
      </c>
      <c r="I24" s="25" t="n"/>
      <c r="J24" s="25" t="n"/>
      <c r="K24" s="26" t="n"/>
      <c r="L24" s="25" t="n"/>
      <c r="M24" s="25" t="n">
        <v>0.0264</v>
      </c>
      <c r="N24" s="26" t="n">
        <v>5.2</v>
      </c>
      <c r="O24" s="25" t="n"/>
      <c r="P24" s="25" t="n"/>
      <c r="Q24" s="25" t="n">
        <v>0.1713</v>
      </c>
      <c r="R24" s="25" t="n">
        <v>0.133</v>
      </c>
      <c r="S24" s="25" t="n">
        <v>0.587</v>
      </c>
      <c r="T24" s="26" t="n">
        <v>11.89</v>
      </c>
      <c r="U24" s="25" t="n">
        <v>0.0896</v>
      </c>
      <c r="V24" s="25" t="n">
        <v>0.0435</v>
      </c>
      <c r="W24" s="27" t="n">
        <v>17</v>
      </c>
      <c r="X24" s="28" t="n"/>
      <c r="Y24" s="28" t="n"/>
      <c r="Z24" s="28" t="n"/>
      <c r="AA24" s="28" t="n">
        <v>0.0178</v>
      </c>
      <c r="AB24" s="29" t="n">
        <v>6.16</v>
      </c>
      <c r="AC24" s="28" t="n">
        <v>0.1512</v>
      </c>
      <c r="AD24" s="28" t="n">
        <v>0.1459</v>
      </c>
      <c r="AE24" s="28" t="n">
        <v>0.5866</v>
      </c>
      <c r="AF24" s="29" t="n">
        <v>11.58</v>
      </c>
      <c r="AG24" s="28" t="n">
        <v>0.1223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Tyquan Thornton</t>
        </is>
      </c>
      <c r="C25" s="35" t="n">
        <v>3</v>
      </c>
      <c r="D25" s="35" t="inlineStr">
        <is>
          <t>26</t>
        </is>
      </c>
      <c r="E25" s="42" t="inlineStr">
        <is>
          <t>ACT</t>
        </is>
      </c>
      <c r="F25" s="24" t="inlineStr">
        <is>
          <t>KC</t>
        </is>
      </c>
      <c r="G25" s="24" t="inlineStr">
        <is>
          <t>14</t>
        </is>
      </c>
      <c r="H25" s="25" t="n">
        <v>0.367</v>
      </c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>
        <v>0.016</v>
      </c>
      <c r="R25" s="25" t="n">
        <v>0.0674</v>
      </c>
      <c r="S25" s="25" t="n">
        <v>0.524</v>
      </c>
      <c r="T25" s="26" t="n">
        <v>19.77</v>
      </c>
      <c r="U25" s="25" t="n">
        <v>0.0597</v>
      </c>
      <c r="V25" s="25" t="n">
        <v>0.1304</v>
      </c>
      <c r="W25" s="27" t="n">
        <v>17</v>
      </c>
      <c r="X25" s="28" t="n"/>
      <c r="Y25" s="28" t="n"/>
      <c r="Z25" s="28" t="n"/>
      <c r="AA25" s="28" t="n">
        <v>0.0053</v>
      </c>
      <c r="AB25" s="29" t="n"/>
      <c r="AC25" s="28" t="n"/>
      <c r="AD25" s="28" t="n">
        <v>0.0728</v>
      </c>
      <c r="AE25" s="28" t="n">
        <v>0.52</v>
      </c>
      <c r="AF25" s="29" t="n">
        <v>16</v>
      </c>
      <c r="AG25" s="28" t="n">
        <v>0.1302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Cyrus Allen</t>
        </is>
      </c>
      <c r="C26" s="22" t="n">
        <v>4</v>
      </c>
      <c r="D26" s="22" t="inlineStr">
        <is>
          <t>23</t>
        </is>
      </c>
      <c r="E26" s="23" t="inlineStr">
        <is>
          <t>ACT</t>
        </is>
      </c>
      <c r="F26" s="24" t="inlineStr"/>
      <c r="G26" s="24" t="inlineStr"/>
      <c r="H26" s="25" t="n"/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/>
      <c r="R26" s="25" t="n"/>
      <c r="S26" s="25" t="n"/>
      <c r="T26" s="26" t="n"/>
      <c r="U26" s="25" t="n"/>
      <c r="V26" s="25" t="n"/>
      <c r="W26" s="27" t="n">
        <v>17</v>
      </c>
      <c r="X26" s="28" t="n"/>
      <c r="Y26" s="28" t="n"/>
      <c r="Z26" s="28" t="n"/>
      <c r="AA26" s="28" t="n">
        <v>0.0022</v>
      </c>
      <c r="AB26" s="29" t="n"/>
      <c r="AC26" s="28" t="n"/>
      <c r="AD26" s="28" t="n">
        <v>0.0404</v>
      </c>
      <c r="AE26" s="28" t="n">
        <v>0.65</v>
      </c>
      <c r="AF26" s="29" t="n">
        <v>12.84</v>
      </c>
      <c r="AG26" s="28" t="n"/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Jalen Royals</t>
        </is>
      </c>
      <c r="C27" s="35" t="n">
        <v>5</v>
      </c>
      <c r="D27" s="35" t="inlineStr">
        <is>
          <t>23</t>
        </is>
      </c>
      <c r="E27" s="42" t="inlineStr">
        <is>
          <t>ACT</t>
        </is>
      </c>
      <c r="F27" s="24" t="inlineStr">
        <is>
          <t>KC</t>
        </is>
      </c>
      <c r="G27" s="24" t="inlineStr">
        <is>
          <t>7</t>
        </is>
      </c>
      <c r="H27" s="25" t="n">
        <v>0.19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/>
      <c r="R27" s="25" t="n">
        <v>0.0055</v>
      </c>
      <c r="S27" s="25" t="n"/>
      <c r="T27" s="26" t="n"/>
      <c r="U27" s="25" t="n"/>
      <c r="V27" s="25" t="n"/>
      <c r="W27" s="27" t="n">
        <v>17</v>
      </c>
      <c r="X27" s="28" t="n"/>
      <c r="Y27" s="28" t="n"/>
      <c r="Z27" s="28" t="n"/>
      <c r="AA27" s="28" t="n">
        <v>0.0009</v>
      </c>
      <c r="AB27" s="29" t="n"/>
      <c r="AC27" s="28" t="n"/>
      <c r="AD27" s="28" t="n">
        <v>0.0275</v>
      </c>
      <c r="AE27" s="28" t="n">
        <v>0.6667</v>
      </c>
      <c r="AF27" s="29" t="n">
        <v>12.84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Nikko Remigio</t>
        </is>
      </c>
      <c r="C28" s="22" t="n">
        <v>6</v>
      </c>
      <c r="D28" s="22" t="inlineStr">
        <is>
          <t>26</t>
        </is>
      </c>
      <c r="E28" s="23" t="inlineStr">
        <is>
          <t>ACT</t>
        </is>
      </c>
      <c r="F28" s="24" t="inlineStr">
        <is>
          <t>KC</t>
        </is>
      </c>
      <c r="G28" s="24" t="inlineStr">
        <is>
          <t>14</t>
        </is>
      </c>
      <c r="H28" s="25" t="n">
        <v>0.129</v>
      </c>
      <c r="I28" s="25" t="n"/>
      <c r="J28" s="25" t="n"/>
      <c r="K28" s="26" t="n"/>
      <c r="L28" s="25" t="n"/>
      <c r="M28" s="25" t="n">
        <v>0.0024</v>
      </c>
      <c r="N28" s="26" t="n"/>
      <c r="O28" s="25" t="n"/>
      <c r="P28" s="25" t="n"/>
      <c r="Q28" s="25" t="n">
        <v>0.0105</v>
      </c>
      <c r="R28" s="25" t="n">
        <v>0.0018</v>
      </c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0.0021</v>
      </c>
      <c r="AB28" s="29" t="n"/>
      <c r="AC28" s="28" t="n"/>
      <c r="AD28" s="28" t="n">
        <v>0.0086</v>
      </c>
      <c r="AE28" s="28" t="n">
        <v>0.8824</v>
      </c>
      <c r="AF28" s="29" t="n">
        <v>12.84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n"/>
      <c r="C29" s="34" t="n"/>
      <c r="D29" s="34" t="n"/>
      <c r="E29" s="34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40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Travis Kelce</t>
        </is>
      </c>
      <c r="C32" s="22" t="n">
        <v>1</v>
      </c>
      <c r="D32" s="22" t="inlineStr">
        <is>
          <t>36</t>
        </is>
      </c>
      <c r="E32" s="23" t="inlineStr">
        <is>
          <t>ACT</t>
        </is>
      </c>
      <c r="F32" s="24" t="inlineStr">
        <is>
          <t>KC</t>
        </is>
      </c>
      <c r="G32" s="24" t="inlineStr">
        <is>
          <t>17</t>
        </is>
      </c>
      <c r="H32" s="25" t="n">
        <v>0.8169999999999999</v>
      </c>
      <c r="I32" s="25" t="n"/>
      <c r="J32" s="25" t="n"/>
      <c r="K32" s="26" t="n"/>
      <c r="L32" s="25" t="n"/>
      <c r="M32" s="25" t="n">
        <v>0.0024</v>
      </c>
      <c r="N32" s="26" t="n"/>
      <c r="O32" s="25" t="n">
        <v>0.0119</v>
      </c>
      <c r="P32" s="25" t="n"/>
      <c r="Q32" s="25" t="n">
        <v>0.2325</v>
      </c>
      <c r="R32" s="25" t="n">
        <v>0.1967</v>
      </c>
      <c r="S32" s="25" t="n">
        <v>0.723</v>
      </c>
      <c r="T32" s="26" t="n">
        <v>10.28</v>
      </c>
      <c r="U32" s="25" t="n">
        <v>0.1642</v>
      </c>
      <c r="V32" s="25" t="n">
        <v>0.2174</v>
      </c>
      <c r="W32" s="27" t="n">
        <v>17</v>
      </c>
      <c r="X32" s="28" t="n"/>
      <c r="Y32" s="28" t="n"/>
      <c r="Z32" s="28" t="n"/>
      <c r="AA32" s="28" t="n">
        <v>0.0023</v>
      </c>
      <c r="AB32" s="29" t="n"/>
      <c r="AC32" s="28" t="n"/>
      <c r="AD32" s="28" t="n">
        <v>0.2097</v>
      </c>
      <c r="AE32" s="28" t="n">
        <v>0.7232</v>
      </c>
      <c r="AF32" s="29" t="n">
        <v>9.99</v>
      </c>
      <c r="AG32" s="28" t="n">
        <v>0.18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Noah Gray</t>
        </is>
      </c>
      <c r="C33" s="35" t="n">
        <v>2</v>
      </c>
      <c r="D33" s="35" t="inlineStr">
        <is>
          <t>27</t>
        </is>
      </c>
      <c r="E33" s="42" t="inlineStr">
        <is>
          <t>ACT</t>
        </is>
      </c>
      <c r="F33" s="24" t="inlineStr">
        <is>
          <t>KC</t>
        </is>
      </c>
      <c r="G33" s="24" t="inlineStr">
        <is>
          <t>16</t>
        </is>
      </c>
      <c r="H33" s="25" t="n">
        <v>0.535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0.0857</v>
      </c>
      <c r="R33" s="25" t="n">
        <v>0.0674</v>
      </c>
      <c r="S33" s="25" t="n">
        <v>0.668</v>
      </c>
      <c r="T33" s="26" t="n">
        <v>9.73</v>
      </c>
      <c r="U33" s="25" t="n">
        <v>0.0149</v>
      </c>
      <c r="V33" s="25" t="n"/>
      <c r="W33" s="27" t="n">
        <v>17</v>
      </c>
      <c r="X33" s="28" t="n"/>
      <c r="Y33" s="28" t="n"/>
      <c r="Z33" s="28" t="n"/>
      <c r="AA33" s="28" t="n">
        <v>0.0023</v>
      </c>
      <c r="AB33" s="29" t="n"/>
      <c r="AC33" s="28" t="n"/>
      <c r="AD33" s="28" t="n">
        <v>0.0728</v>
      </c>
      <c r="AE33" s="28" t="n">
        <v>0.6682</v>
      </c>
      <c r="AF33" s="29" t="n">
        <v>10.34</v>
      </c>
      <c r="AG33" s="28" t="n">
        <v>0.1438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Jared Wiley</t>
        </is>
      </c>
      <c r="C34" s="22" t="n">
        <v>3</v>
      </c>
      <c r="D34" s="22" t="inlineStr">
        <is>
          <t>25</t>
        </is>
      </c>
      <c r="E34" s="23" t="inlineStr">
        <is>
          <t>ACT</t>
        </is>
      </c>
      <c r="F34" s="24" t="inlineStr">
        <is>
          <t>KC</t>
        </is>
      </c>
      <c r="G34" s="24" t="inlineStr">
        <is>
          <t>5</t>
        </is>
      </c>
      <c r="H34" s="25" t="n">
        <v>0.149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0.0017</v>
      </c>
      <c r="R34" s="25" t="n">
        <v>0.0018</v>
      </c>
      <c r="S34" s="25" t="n"/>
      <c r="T34" s="26" t="n"/>
      <c r="U34" s="25" t="n"/>
      <c r="V34" s="25" t="n"/>
      <c r="W34" s="27" t="n">
        <v>17</v>
      </c>
      <c r="X34" s="28" t="n"/>
      <c r="Y34" s="28" t="n"/>
      <c r="Z34" s="28" t="n"/>
      <c r="AA34" s="28" t="n">
        <v>0.0009</v>
      </c>
      <c r="AB34" s="29" t="n"/>
      <c r="AC34" s="28" t="n"/>
      <c r="AD34" s="28" t="n">
        <v>0.0069</v>
      </c>
      <c r="AE34" s="28" t="n">
        <v>1</v>
      </c>
      <c r="AF34" s="29" t="n">
        <v>5.5</v>
      </c>
      <c r="AG34" s="28" t="n"/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Jake Briningstool</t>
        </is>
      </c>
      <c r="C35" s="35" t="n">
        <v>4</v>
      </c>
      <c r="D35" s="35" t="inlineStr">
        <is>
          <t>23</t>
        </is>
      </c>
      <c r="E35" s="42" t="inlineStr">
        <is>
          <t>ACT</t>
        </is>
      </c>
      <c r="F35" s="24" t="inlineStr"/>
      <c r="G35" s="24" t="inlineStr"/>
      <c r="H35" s="25" t="n"/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0.0022</v>
      </c>
      <c r="AB35" s="29" t="n"/>
      <c r="AC35" s="28" t="n"/>
      <c r="AD35" s="28" t="n">
        <v>0.0056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LAC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1065</v>
      </c>
      <c r="D4" s="10">
        <f>$C$4/$B$4</f>
        <v/>
      </c>
      <c r="E4" s="11" t="n">
        <v>0.5706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1095</v>
      </c>
      <c r="M4" s="14" t="n">
        <v>64.4118</v>
      </c>
      <c r="N4" s="15" t="n">
        <v>0.5744</v>
      </c>
      <c r="O4" s="13" t="n">
        <v>569</v>
      </c>
      <c r="P4" s="13" t="n">
        <v>466</v>
      </c>
      <c r="Q4" s="16" t="n">
        <v>6.9473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42</v>
      </c>
      <c r="C7" s="11" t="n">
        <v>0.3421</v>
      </c>
      <c r="D7" s="10">
        <f>$B$7*$C$7</f>
        <v/>
      </c>
      <c r="E7" s="10">
        <f>$B$7-$D$7</f>
        <v/>
      </c>
      <c r="F7" s="12" t="n">
        <v>3981</v>
      </c>
      <c r="G7" s="12" t="n">
        <v>1941</v>
      </c>
      <c r="H7" s="12">
        <f>$F$7</f>
        <v/>
      </c>
      <c r="L7" s="13" t="n">
        <v>3953</v>
      </c>
      <c r="M7" s="13" t="n">
        <v>2067</v>
      </c>
      <c r="N7" s="14" t="n">
        <v>26</v>
      </c>
      <c r="O7" s="14" t="n">
        <v>10</v>
      </c>
      <c r="P7" s="14" t="n">
        <v>36</v>
      </c>
      <c r="Q7" s="15" t="n">
        <v>0.2777777777777778</v>
      </c>
    </row>
    <row r="8"/>
    <row r="9">
      <c r="A9" s="5" t="inlineStr">
        <is>
          <t>NOTES</t>
        </is>
      </c>
      <c r="B9" s="18" t="inlineStr">
        <is>
          <t>29% of targets and 16% of carries left this roster.  HC unchanged. OC Mike McDaniel. Earlier ball release; more catch-and-run opportunities.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Justin Herbert</t>
        </is>
      </c>
      <c r="C12" s="22" t="n">
        <v>1</v>
      </c>
      <c r="D12" s="22" t="inlineStr">
        <is>
          <t>28</t>
        </is>
      </c>
      <c r="E12" s="23" t="inlineStr">
        <is>
          <t>ACT</t>
        </is>
      </c>
      <c r="F12" s="24" t="inlineStr">
        <is>
          <t>LAC</t>
        </is>
      </c>
      <c r="G12" s="24" t="inlineStr">
        <is>
          <t>16</t>
        </is>
      </c>
      <c r="H12" s="25" t="n">
        <v>0.969</v>
      </c>
      <c r="I12" s="25" t="n">
        <v>0.8998</v>
      </c>
      <c r="J12" s="25" t="n">
        <v>0.66</v>
      </c>
      <c r="K12" s="26" t="n">
        <v>7.34</v>
      </c>
      <c r="L12" s="25" t="n">
        <v>0.017</v>
      </c>
      <c r="M12" s="25" t="n">
        <v>0.1608</v>
      </c>
      <c r="N12" s="26" t="n">
        <v>6.45</v>
      </c>
      <c r="O12" s="25" t="n">
        <v>0.1739</v>
      </c>
      <c r="P12" s="25" t="n">
        <v>0.2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0.8318</v>
      </c>
      <c r="Y12" s="28" t="n">
        <v>0.66</v>
      </c>
      <c r="Z12" s="28" t="n">
        <v>0.017</v>
      </c>
      <c r="AA12" s="28" t="n">
        <v>0.1214</v>
      </c>
      <c r="AB12" s="29" t="n">
        <v>6.33</v>
      </c>
      <c r="AC12" s="28" t="n">
        <v>0.1656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Trey Lance</t>
        </is>
      </c>
      <c r="C13" s="35" t="n">
        <v>2</v>
      </c>
      <c r="D13" s="35" t="inlineStr">
        <is>
          <t>26</t>
        </is>
      </c>
      <c r="E13" s="42" t="inlineStr">
        <is>
          <t>ACT</t>
        </is>
      </c>
      <c r="F13" s="24" t="inlineStr">
        <is>
          <t>LAC</t>
        </is>
      </c>
      <c r="G13" s="24" t="inlineStr">
        <is>
          <t>4</t>
        </is>
      </c>
      <c r="H13" s="25" t="n">
        <v>0.361</v>
      </c>
      <c r="I13" s="25" t="n">
        <v>0.1002</v>
      </c>
      <c r="J13" s="25" t="n">
        <v>0.525</v>
      </c>
      <c r="K13" s="26" t="n">
        <v>4.91</v>
      </c>
      <c r="L13" s="25" t="n">
        <v>0.02</v>
      </c>
      <c r="M13" s="25" t="n">
        <v>0.033</v>
      </c>
      <c r="N13" s="26" t="n"/>
      <c r="O13" s="25" t="n"/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0.08019999999999999</v>
      </c>
      <c r="Y13" s="28" t="n">
        <v>0.525</v>
      </c>
      <c r="Z13" s="28" t="n">
        <v>0.02</v>
      </c>
      <c r="AA13" s="28" t="n">
        <v>0.0283</v>
      </c>
      <c r="AB13" s="29" t="n">
        <v>4.85</v>
      </c>
      <c r="AC13" s="28" t="n"/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40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Omarion Hampton</t>
        </is>
      </c>
      <c r="C16" s="22" t="n">
        <v>1</v>
      </c>
      <c r="D16" s="22" t="inlineStr">
        <is>
          <t>23</t>
        </is>
      </c>
      <c r="E16" s="23" t="inlineStr">
        <is>
          <t>ACT</t>
        </is>
      </c>
      <c r="F16" s="24" t="inlineStr">
        <is>
          <t>LAC</t>
        </is>
      </c>
      <c r="G16" s="24" t="inlineStr">
        <is>
          <t>9</t>
        </is>
      </c>
      <c r="H16" s="25" t="n">
        <v>0.634</v>
      </c>
      <c r="I16" s="25" t="n"/>
      <c r="J16" s="25" t="n"/>
      <c r="K16" s="26" t="n"/>
      <c r="L16" s="25" t="n"/>
      <c r="M16" s="25" t="n">
        <v>0.2731</v>
      </c>
      <c r="N16" s="26" t="n">
        <v>4.4</v>
      </c>
      <c r="O16" s="25" t="n">
        <v>0.3188</v>
      </c>
      <c r="P16" s="25" t="n">
        <v>0.4</v>
      </c>
      <c r="Q16" s="25" t="n"/>
      <c r="R16" s="25" t="n">
        <v>0.0643</v>
      </c>
      <c r="S16" s="25" t="n">
        <v>0.914</v>
      </c>
      <c r="T16" s="26" t="n">
        <v>6</v>
      </c>
      <c r="U16" s="25" t="n">
        <v>0.027</v>
      </c>
      <c r="V16" s="25" t="n">
        <v>0.0385</v>
      </c>
      <c r="W16" s="27" t="n">
        <v>17</v>
      </c>
      <c r="X16" s="28" t="n"/>
      <c r="Y16" s="28" t="n"/>
      <c r="Z16" s="28" t="n"/>
      <c r="AA16" s="28" t="n">
        <v>0.381</v>
      </c>
      <c r="AB16" s="29" t="n">
        <v>4.4</v>
      </c>
      <c r="AC16" s="28" t="n">
        <v>0.3576</v>
      </c>
      <c r="AD16" s="28" t="n">
        <v>0.079</v>
      </c>
      <c r="AE16" s="28" t="n">
        <v>0.9143</v>
      </c>
      <c r="AF16" s="29" t="n">
        <v>6</v>
      </c>
      <c r="AG16" s="28" t="n">
        <v>0.0321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Keaton Mitchell</t>
        </is>
      </c>
      <c r="C17" s="35" t="n">
        <v>2</v>
      </c>
      <c r="D17" s="35" t="inlineStr">
        <is>
          <t>24</t>
        </is>
      </c>
      <c r="E17" s="36" t="inlineStr">
        <is>
          <t>QUESTIONABLE</t>
        </is>
      </c>
      <c r="F17" s="24" t="inlineStr">
        <is>
          <t>BAL</t>
        </is>
      </c>
      <c r="G17" s="24" t="inlineStr">
        <is>
          <t>13</t>
        </is>
      </c>
      <c r="H17" s="25" t="n">
        <v>0.184</v>
      </c>
      <c r="I17" s="25" t="n"/>
      <c r="J17" s="25" t="n"/>
      <c r="K17" s="26" t="n"/>
      <c r="L17" s="25" t="n"/>
      <c r="M17" s="25" t="n">
        <v>0.1204</v>
      </c>
      <c r="N17" s="26" t="n">
        <v>6.3</v>
      </c>
      <c r="O17" s="25" t="n">
        <v>0.11</v>
      </c>
      <c r="P17" s="25" t="n">
        <v>0.0435</v>
      </c>
      <c r="Q17" s="25" t="n">
        <v>0.0022</v>
      </c>
      <c r="R17" s="25" t="n">
        <v>0.0295</v>
      </c>
      <c r="S17" s="25" t="n"/>
      <c r="T17" s="26" t="n"/>
      <c r="U17" s="25" t="n"/>
      <c r="V17" s="25" t="n"/>
      <c r="W17" s="27" t="n">
        <v>17</v>
      </c>
      <c r="X17" s="28" t="n"/>
      <c r="Y17" s="28" t="n"/>
      <c r="Z17" s="28" t="n"/>
      <c r="AA17" s="28" t="n">
        <v>0.2323</v>
      </c>
      <c r="AB17" s="29" t="n">
        <v>6.34</v>
      </c>
      <c r="AC17" s="28" t="n">
        <v>0.0448</v>
      </c>
      <c r="AD17" s="28" t="n">
        <v>0.0369</v>
      </c>
      <c r="AE17" s="28" t="n">
        <v>0.8004</v>
      </c>
      <c r="AF17" s="29" t="n">
        <v>9.68</v>
      </c>
      <c r="AG17" s="28" t="n"/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Kimani Vidal</t>
        </is>
      </c>
      <c r="C18" s="22" t="n">
        <v>3</v>
      </c>
      <c r="D18" s="22" t="inlineStr">
        <is>
          <t>25</t>
        </is>
      </c>
      <c r="E18" s="23" t="inlineStr">
        <is>
          <t>ACT</t>
        </is>
      </c>
      <c r="F18" s="24" t="inlineStr">
        <is>
          <t>LAC</t>
        </is>
      </c>
      <c r="G18" s="24" t="inlineStr">
        <is>
          <t>13</t>
        </is>
      </c>
      <c r="H18" s="25" t="n">
        <v>0.444</v>
      </c>
      <c r="I18" s="25" t="n"/>
      <c r="J18" s="25" t="n"/>
      <c r="K18" s="26" t="n"/>
      <c r="L18" s="25" t="n"/>
      <c r="M18" s="25" t="n">
        <v>0.3414</v>
      </c>
      <c r="N18" s="26" t="n">
        <v>3.98</v>
      </c>
      <c r="O18" s="25" t="n">
        <v>0.3623</v>
      </c>
      <c r="P18" s="25" t="n">
        <v>0.3</v>
      </c>
      <c r="Q18" s="25" t="n">
        <v>0.0183</v>
      </c>
      <c r="R18" s="25" t="n">
        <v>0.0404</v>
      </c>
      <c r="S18" s="25" t="n">
        <v>0.727</v>
      </c>
      <c r="T18" s="26" t="n">
        <v>8.5</v>
      </c>
      <c r="U18" s="25" t="n">
        <v>0.08110000000000001</v>
      </c>
      <c r="V18" s="25" t="n">
        <v>0.0385</v>
      </c>
      <c r="W18" s="27" t="n">
        <v>17</v>
      </c>
      <c r="X18" s="28" t="n"/>
      <c r="Y18" s="28" t="n"/>
      <c r="Z18" s="28" t="n"/>
      <c r="AA18" s="28" t="n">
        <v>0.1096</v>
      </c>
      <c r="AB18" s="29" t="n">
        <v>4.03</v>
      </c>
      <c r="AC18" s="28" t="n">
        <v>0.2682</v>
      </c>
      <c r="AD18" s="28" t="n">
        <v>0.0268</v>
      </c>
      <c r="AE18" s="28" t="n">
        <v>0.673</v>
      </c>
      <c r="AF18" s="29" t="n">
        <v>9.43</v>
      </c>
      <c r="AG18" s="28" t="n">
        <v>0.0333</v>
      </c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Alec Ingold</t>
        </is>
      </c>
      <c r="C19" s="35" t="n">
        <v>4</v>
      </c>
      <c r="D19" s="35" t="inlineStr">
        <is>
          <t>30</t>
        </is>
      </c>
      <c r="E19" s="42" t="inlineStr">
        <is>
          <t>ACT</t>
        </is>
      </c>
      <c r="F19" s="24" t="inlineStr">
        <is>
          <t>MIA</t>
        </is>
      </c>
      <c r="G19" s="24" t="inlineStr">
        <is>
          <t>17</t>
        </is>
      </c>
      <c r="H19" s="25" t="n">
        <v>0.359</v>
      </c>
      <c r="I19" s="25" t="n"/>
      <c r="J19" s="25" t="n"/>
      <c r="K19" s="26" t="n"/>
      <c r="L19" s="25" t="n"/>
      <c r="M19" s="25" t="n">
        <v>0.0047</v>
      </c>
      <c r="N19" s="26" t="n"/>
      <c r="O19" s="25" t="n">
        <v>0.0152</v>
      </c>
      <c r="P19" s="25" t="n"/>
      <c r="Q19" s="25" t="n">
        <v>0.0211</v>
      </c>
      <c r="R19" s="25" t="n">
        <v>0.0238</v>
      </c>
      <c r="S19" s="25" t="n">
        <v>0.8120000000000001</v>
      </c>
      <c r="T19" s="26" t="n">
        <v>9.15</v>
      </c>
      <c r="U19" s="25" t="n"/>
      <c r="V19" s="25" t="n"/>
      <c r="W19" s="27" t="n">
        <v>17</v>
      </c>
      <c r="X19" s="28" t="n"/>
      <c r="Y19" s="28" t="n"/>
      <c r="Z19" s="28" t="n"/>
      <c r="AA19" s="28" t="n">
        <v>0.0055</v>
      </c>
      <c r="AB19" s="29" t="n">
        <v>4.13</v>
      </c>
      <c r="AC19" s="28" t="n">
        <v>0.0745</v>
      </c>
      <c r="AD19" s="28" t="n">
        <v>0.0047</v>
      </c>
      <c r="AE19" s="28" t="n">
        <v>0.7969000000000001</v>
      </c>
      <c r="AF19" s="29" t="n">
        <v>8.34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Amar Johnson</t>
        </is>
      </c>
      <c r="C20" s="22" t="n">
        <v>5</v>
      </c>
      <c r="D20" s="22" t="inlineStr">
        <is>
          <t>23</t>
        </is>
      </c>
      <c r="E20" s="23" t="inlineStr">
        <is>
          <t>ACT</t>
        </is>
      </c>
      <c r="F20" s="24" t="inlineStr">
        <is>
          <t>LAC</t>
        </is>
      </c>
      <c r="G20" s="24" t="inlineStr">
        <is>
          <t>2</t>
        </is>
      </c>
      <c r="H20" s="25" t="n">
        <v>0.08</v>
      </c>
      <c r="I20" s="25" t="n"/>
      <c r="J20" s="25" t="n"/>
      <c r="K20" s="26" t="n"/>
      <c r="L20" s="25" t="n"/>
      <c r="M20" s="25" t="n">
        <v>0.0044</v>
      </c>
      <c r="N20" s="26" t="n"/>
      <c r="O20" s="25" t="n"/>
      <c r="P20" s="25" t="n"/>
      <c r="Q20" s="25" t="n"/>
      <c r="R20" s="25" t="n">
        <v>0.0018</v>
      </c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0.0193</v>
      </c>
      <c r="AB20" s="29" t="n">
        <v>4</v>
      </c>
      <c r="AC20" s="28" t="n"/>
      <c r="AD20" s="28" t="n">
        <v>0.0036</v>
      </c>
      <c r="AE20" s="28" t="n">
        <v>0.774</v>
      </c>
      <c r="AF20" s="29" t="n">
        <v>7.13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Ladd McConkey</t>
        </is>
      </c>
      <c r="C23" s="35" t="n">
        <v>1</v>
      </c>
      <c r="D23" s="35" t="inlineStr">
        <is>
          <t>24</t>
        </is>
      </c>
      <c r="E23" s="42" t="inlineStr">
        <is>
          <t>ACT</t>
        </is>
      </c>
      <c r="F23" s="24" t="inlineStr">
        <is>
          <t>LAC</t>
        </is>
      </c>
      <c r="G23" s="24" t="inlineStr">
        <is>
          <t>16</t>
        </is>
      </c>
      <c r="H23" s="25" t="n">
        <v>0.759</v>
      </c>
      <c r="I23" s="25" t="n"/>
      <c r="J23" s="25" t="n"/>
      <c r="K23" s="26" t="n"/>
      <c r="L23" s="25" t="n"/>
      <c r="M23" s="25" t="n"/>
      <c r="N23" s="26" t="n"/>
      <c r="O23" s="25" t="n"/>
      <c r="P23" s="25" t="n"/>
      <c r="Q23" s="25" t="n">
        <v>0.2281</v>
      </c>
      <c r="R23" s="25" t="n">
        <v>0.1949</v>
      </c>
      <c r="S23" s="25" t="n">
        <v>0.664</v>
      </c>
      <c r="T23" s="26" t="n">
        <v>12.73</v>
      </c>
      <c r="U23" s="25" t="n">
        <v>0.1892</v>
      </c>
      <c r="V23" s="25" t="n">
        <v>0.2308</v>
      </c>
      <c r="W23" s="27" t="n">
        <v>17</v>
      </c>
      <c r="X23" s="28" t="n"/>
      <c r="Y23" s="28" t="n"/>
      <c r="Z23" s="28" t="n"/>
      <c r="AA23" s="28" t="n">
        <v>0.0077</v>
      </c>
      <c r="AB23" s="29" t="n"/>
      <c r="AC23" s="28" t="n"/>
      <c r="AD23" s="28" t="n">
        <v>0.2261</v>
      </c>
      <c r="AE23" s="28" t="n">
        <v>0.6637</v>
      </c>
      <c r="AF23" s="29" t="n">
        <v>13.09</v>
      </c>
      <c r="AG23" s="28" t="n">
        <v>0.2154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Quentin Johnston</t>
        </is>
      </c>
      <c r="C24" s="22" t="n">
        <v>2</v>
      </c>
      <c r="D24" s="22" t="inlineStr">
        <is>
          <t>24</t>
        </is>
      </c>
      <c r="E24" s="23" t="inlineStr">
        <is>
          <t>ACT</t>
        </is>
      </c>
      <c r="F24" s="24" t="inlineStr">
        <is>
          <t>LAC</t>
        </is>
      </c>
      <c r="G24" s="24" t="inlineStr">
        <is>
          <t>14</t>
        </is>
      </c>
      <c r="H24" s="25" t="n">
        <v>0.727</v>
      </c>
      <c r="I24" s="25" t="n"/>
      <c r="J24" s="25" t="n"/>
      <c r="K24" s="26" t="n"/>
      <c r="L24" s="25" t="n"/>
      <c r="M24" s="25" t="n">
        <v>0.0044</v>
      </c>
      <c r="N24" s="26" t="n"/>
      <c r="O24" s="25" t="n"/>
      <c r="P24" s="25" t="n"/>
      <c r="Q24" s="25" t="n">
        <v>0.1853</v>
      </c>
      <c r="R24" s="25" t="n">
        <v>0.1544</v>
      </c>
      <c r="S24" s="25" t="n">
        <v>0.597</v>
      </c>
      <c r="T24" s="26" t="n">
        <v>13.26</v>
      </c>
      <c r="U24" s="25" t="n">
        <v>0.2027</v>
      </c>
      <c r="V24" s="25" t="n">
        <v>0.3077</v>
      </c>
      <c r="W24" s="27" t="n">
        <v>17</v>
      </c>
      <c r="X24" s="28" t="n"/>
      <c r="Y24" s="28" t="n"/>
      <c r="Z24" s="28" t="n"/>
      <c r="AA24" s="28" t="n">
        <v>0.0061</v>
      </c>
      <c r="AB24" s="29" t="n">
        <v>2.75</v>
      </c>
      <c r="AC24" s="28" t="n"/>
      <c r="AD24" s="28" t="n">
        <v>0.1606</v>
      </c>
      <c r="AE24" s="28" t="n">
        <v>0.5972</v>
      </c>
      <c r="AF24" s="29" t="n">
        <v>13.03</v>
      </c>
      <c r="AG24" s="28" t="n">
        <v>0.2239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Tre' Harris</t>
        </is>
      </c>
      <c r="C25" s="35" t="n">
        <v>3</v>
      </c>
      <c r="D25" s="35" t="inlineStr">
        <is>
          <t>24</t>
        </is>
      </c>
      <c r="E25" s="36" t="inlineStr">
        <is>
          <t>QUESTIONABLE</t>
        </is>
      </c>
      <c r="F25" s="24" t="inlineStr">
        <is>
          <t>LAC</t>
        </is>
      </c>
      <c r="G25" s="24" t="inlineStr">
        <is>
          <t>17</t>
        </is>
      </c>
      <c r="H25" s="25" t="n">
        <v>0.485</v>
      </c>
      <c r="I25" s="25" t="n"/>
      <c r="J25" s="25" t="n"/>
      <c r="K25" s="26" t="n"/>
      <c r="L25" s="25" t="n"/>
      <c r="M25" s="25" t="n">
        <v>0.0044</v>
      </c>
      <c r="N25" s="26" t="n"/>
      <c r="O25" s="25" t="n">
        <v>0.0145</v>
      </c>
      <c r="P25" s="25" t="n"/>
      <c r="Q25" s="25" t="n"/>
      <c r="R25" s="25" t="n">
        <v>0.079</v>
      </c>
      <c r="S25" s="25" t="n">
        <v>0.698</v>
      </c>
      <c r="T25" s="26" t="n">
        <v>10.8</v>
      </c>
      <c r="U25" s="25" t="n">
        <v>0.0541</v>
      </c>
      <c r="V25" s="25" t="n">
        <v>0.0385</v>
      </c>
      <c r="W25" s="27" t="n">
        <v>17</v>
      </c>
      <c r="X25" s="28" t="n"/>
      <c r="Y25" s="28" t="n"/>
      <c r="Z25" s="28" t="n"/>
      <c r="AA25" s="28" t="n">
        <v>0.0046</v>
      </c>
      <c r="AB25" s="29" t="n">
        <v>5</v>
      </c>
      <c r="AC25" s="28" t="n"/>
      <c r="AD25" s="28" t="n">
        <v>0.0963</v>
      </c>
      <c r="AE25" s="28" t="n">
        <v>0.6977</v>
      </c>
      <c r="AF25" s="29" t="n">
        <v>10.8</v>
      </c>
      <c r="AG25" s="28" t="n">
        <v>0.0321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Brenen Thompson</t>
        </is>
      </c>
      <c r="C26" s="22" t="n">
        <v>4</v>
      </c>
      <c r="D26" s="22" t="inlineStr">
        <is>
          <t>23</t>
        </is>
      </c>
      <c r="E26" s="41" t="inlineStr">
        <is>
          <t>QUESTIONABLE</t>
        </is>
      </c>
      <c r="F26" s="24" t="inlineStr"/>
      <c r="G26" s="24" t="inlineStr"/>
      <c r="H26" s="25" t="n"/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/>
      <c r="R26" s="25" t="n"/>
      <c r="S26" s="25" t="n"/>
      <c r="T26" s="26" t="n"/>
      <c r="U26" s="25" t="n"/>
      <c r="V26" s="25" t="n"/>
      <c r="W26" s="27" t="n">
        <v>17</v>
      </c>
      <c r="X26" s="28" t="n"/>
      <c r="Y26" s="28" t="n"/>
      <c r="Z26" s="28" t="n"/>
      <c r="AA26" s="28" t="n">
        <v>0.0023</v>
      </c>
      <c r="AB26" s="29" t="n"/>
      <c r="AC26" s="28" t="n"/>
      <c r="AD26" s="28" t="n">
        <v>0.0292</v>
      </c>
      <c r="AE26" s="28" t="n">
        <v>0.65</v>
      </c>
      <c r="AF26" s="29" t="n">
        <v>12.84</v>
      </c>
      <c r="AG26" s="28" t="n"/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KeAndre Lambert-Smith</t>
        </is>
      </c>
      <c r="C27" s="35" t="n">
        <v>5</v>
      </c>
      <c r="D27" s="35" t="inlineStr">
        <is>
          <t>24</t>
        </is>
      </c>
      <c r="E27" s="42" t="inlineStr">
        <is>
          <t>ACT</t>
        </is>
      </c>
      <c r="F27" s="24" t="inlineStr">
        <is>
          <t>LAC</t>
        </is>
      </c>
      <c r="G27" s="24" t="inlineStr">
        <is>
          <t>10</t>
        </is>
      </c>
      <c r="H27" s="25" t="n">
        <v>0.188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/>
      <c r="R27" s="25" t="n">
        <v>0.0221</v>
      </c>
      <c r="S27" s="25" t="n"/>
      <c r="T27" s="26" t="n"/>
      <c r="U27" s="25" t="n">
        <v>0.0135</v>
      </c>
      <c r="V27" s="25" t="n">
        <v>0.0385</v>
      </c>
      <c r="W27" s="27" t="n">
        <v>17</v>
      </c>
      <c r="X27" s="28" t="n"/>
      <c r="Y27" s="28" t="n"/>
      <c r="Z27" s="28" t="n"/>
      <c r="AA27" s="28" t="n">
        <v>0.0008</v>
      </c>
      <c r="AB27" s="29" t="n"/>
      <c r="AC27" s="28" t="n"/>
      <c r="AD27" s="28" t="n">
        <v>0.021</v>
      </c>
      <c r="AE27" s="28" t="n">
        <v>0.4167</v>
      </c>
      <c r="AF27" s="29" t="n">
        <v>10.2</v>
      </c>
      <c r="AG27" s="28" t="n">
        <v>0.0321</v>
      </c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Derius Davis</t>
        </is>
      </c>
      <c r="C28" s="22" t="n">
        <v>6</v>
      </c>
      <c r="D28" s="22" t="inlineStr">
        <is>
          <t>25</t>
        </is>
      </c>
      <c r="E28" s="23" t="inlineStr">
        <is>
          <t>ACT</t>
        </is>
      </c>
      <c r="F28" s="24" t="inlineStr">
        <is>
          <t>LAC</t>
        </is>
      </c>
      <c r="G28" s="24" t="inlineStr">
        <is>
          <t>11</t>
        </is>
      </c>
      <c r="H28" s="25" t="n">
        <v>0.138</v>
      </c>
      <c r="I28" s="25" t="n"/>
      <c r="J28" s="25" t="n"/>
      <c r="K28" s="26" t="n"/>
      <c r="L28" s="25" t="n"/>
      <c r="M28" s="25" t="n">
        <v>0.0044</v>
      </c>
      <c r="N28" s="26" t="n"/>
      <c r="O28" s="25" t="n"/>
      <c r="P28" s="25" t="n"/>
      <c r="Q28" s="25" t="n">
        <v>0.0346</v>
      </c>
      <c r="R28" s="25" t="n">
        <v>0.0055</v>
      </c>
      <c r="S28" s="25" t="n">
        <v>0.8149999999999999</v>
      </c>
      <c r="T28" s="26" t="n">
        <v>6.8</v>
      </c>
      <c r="U28" s="25" t="n"/>
      <c r="V28" s="25" t="n"/>
      <c r="W28" s="27" t="n">
        <v>17</v>
      </c>
      <c r="X28" s="28" t="n"/>
      <c r="Y28" s="28" t="n"/>
      <c r="Z28" s="28" t="n"/>
      <c r="AA28" s="28" t="n">
        <v>0.0048</v>
      </c>
      <c r="AB28" s="29" t="n">
        <v>5.18</v>
      </c>
      <c r="AC28" s="28" t="n"/>
      <c r="AD28" s="28" t="n">
        <v>0.0196</v>
      </c>
      <c r="AE28" s="28" t="n">
        <v>0.7543</v>
      </c>
      <c r="AF28" s="29" t="n">
        <v>6.27</v>
      </c>
      <c r="AG28" s="28" t="n">
        <v>0.0725</v>
      </c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JaQuae Jackson</t>
        </is>
      </c>
      <c r="C29" s="35" t="n">
        <v>7</v>
      </c>
      <c r="D29" s="35" t="inlineStr">
        <is>
          <t>26</t>
        </is>
      </c>
      <c r="E29" s="42" t="inlineStr">
        <is>
          <t>ACT</t>
        </is>
      </c>
      <c r="F29" s="24" t="inlineStr"/>
      <c r="G29" s="24" t="inlineStr"/>
      <c r="H29" s="25" t="n"/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/>
      <c r="R29" s="25" t="n"/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0.0024</v>
      </c>
      <c r="AB29" s="29" t="n"/>
      <c r="AC29" s="28" t="n"/>
      <c r="AD29" s="28" t="n">
        <v>0.0163</v>
      </c>
      <c r="AE29" s="28" t="n">
        <v>0.65</v>
      </c>
      <c r="AF29" s="29" t="n">
        <v>12.84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Devonte Ross</t>
        </is>
      </c>
      <c r="C30" s="22" t="n">
        <v>8</v>
      </c>
      <c r="D30" s="22" t="inlineStr">
        <is>
          <t>23</t>
        </is>
      </c>
      <c r="E30" s="23" t="inlineStr">
        <is>
          <t>ACT</t>
        </is>
      </c>
      <c r="F30" s="24" t="inlineStr"/>
      <c r="G30" s="24" t="inlineStr"/>
      <c r="H30" s="25" t="n"/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/>
      <c r="R30" s="25" t="n"/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0.0022</v>
      </c>
      <c r="AB30" s="29" t="n"/>
      <c r="AC30" s="28" t="n"/>
      <c r="AD30" s="28" t="n">
        <v>0.0139</v>
      </c>
      <c r="AE30" s="28" t="n">
        <v>0.65</v>
      </c>
      <c r="AF30" s="29" t="n">
        <v>12.84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Oronde Gadsden</t>
        </is>
      </c>
      <c r="C32" s="22" t="n">
        <v>1</v>
      </c>
      <c r="D32" s="22" t="inlineStr">
        <is>
          <t>23</t>
        </is>
      </c>
      <c r="E32" s="23" t="inlineStr">
        <is>
          <t>ACT</t>
        </is>
      </c>
      <c r="F32" s="24" t="inlineStr">
        <is>
          <t>LAC</t>
        </is>
      </c>
      <c r="G32" s="24" t="inlineStr">
        <is>
          <t>15</t>
        </is>
      </c>
      <c r="H32" s="25" t="n">
        <v>0.626</v>
      </c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/>
      <c r="R32" s="25" t="n">
        <v>0.1268</v>
      </c>
      <c r="S32" s="25" t="n">
        <v>0.71</v>
      </c>
      <c r="T32" s="26" t="n">
        <v>13.55</v>
      </c>
      <c r="U32" s="25" t="n">
        <v>0.1892</v>
      </c>
      <c r="V32" s="25" t="n">
        <v>0.1154</v>
      </c>
      <c r="W32" s="27" t="n">
        <v>17</v>
      </c>
      <c r="X32" s="28" t="n"/>
      <c r="Y32" s="28" t="n"/>
      <c r="Z32" s="28" t="n"/>
      <c r="AA32" s="28" t="n">
        <v>0.0015</v>
      </c>
      <c r="AB32" s="29" t="n"/>
      <c r="AC32" s="28" t="n"/>
      <c r="AD32" s="28" t="n">
        <v>0.1366</v>
      </c>
      <c r="AE32" s="28" t="n">
        <v>0.7101</v>
      </c>
      <c r="AF32" s="29" t="n">
        <v>13.55</v>
      </c>
      <c r="AG32" s="28" t="n">
        <v>0.09619999999999999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David Njoku</t>
        </is>
      </c>
      <c r="C33" s="35" t="n">
        <v>2</v>
      </c>
      <c r="D33" s="35" t="inlineStr">
        <is>
          <t>30</t>
        </is>
      </c>
      <c r="E33" s="42" t="inlineStr">
        <is>
          <t>ACT</t>
        </is>
      </c>
      <c r="F33" s="24" t="inlineStr">
        <is>
          <t>CLE</t>
        </is>
      </c>
      <c r="G33" s="24" t="inlineStr">
        <is>
          <t>12</t>
        </is>
      </c>
      <c r="H33" s="25" t="n">
        <v>0.708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0.153</v>
      </c>
      <c r="R33" s="25" t="n">
        <v>0.092</v>
      </c>
      <c r="S33" s="25" t="n">
        <v>0.673</v>
      </c>
      <c r="T33" s="26" t="n">
        <v>9.130000000000001</v>
      </c>
      <c r="U33" s="25" t="n">
        <v>0.1569</v>
      </c>
      <c r="V33" s="25" t="n">
        <v>0.25</v>
      </c>
      <c r="W33" s="27" t="n">
        <v>17</v>
      </c>
      <c r="X33" s="28" t="n"/>
      <c r="Y33" s="28" t="n"/>
      <c r="Z33" s="28" t="n"/>
      <c r="AA33" s="28" t="n">
        <v>0.0023</v>
      </c>
      <c r="AB33" s="29" t="n"/>
      <c r="AC33" s="28" t="n"/>
      <c r="AD33" s="28" t="n">
        <v>0.0485</v>
      </c>
      <c r="AE33" s="28" t="n">
        <v>0.6728</v>
      </c>
      <c r="AF33" s="29" t="n">
        <v>9.44</v>
      </c>
      <c r="AG33" s="28" t="n">
        <v>0.2113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Charlie Kolar</t>
        </is>
      </c>
      <c r="C34" s="22" t="n">
        <v>3</v>
      </c>
      <c r="D34" s="22" t="inlineStr">
        <is>
          <t>27</t>
        </is>
      </c>
      <c r="E34" s="23" t="inlineStr">
        <is>
          <t>ACT</t>
        </is>
      </c>
      <c r="F34" s="24" t="inlineStr">
        <is>
          <t>BAL</t>
        </is>
      </c>
      <c r="G34" s="24" t="inlineStr">
        <is>
          <t>17</t>
        </is>
      </c>
      <c r="H34" s="25" t="n">
        <v>0.343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0.0241</v>
      </c>
      <c r="R34" s="25" t="n">
        <v>0.0369</v>
      </c>
      <c r="S34" s="25" t="n">
        <v>0.667</v>
      </c>
      <c r="T34" s="26" t="n"/>
      <c r="U34" s="25" t="n">
        <v>0.0577</v>
      </c>
      <c r="V34" s="25" t="n">
        <v>0.08699999999999999</v>
      </c>
      <c r="W34" s="27" t="n">
        <v>17</v>
      </c>
      <c r="X34" s="28" t="n"/>
      <c r="Y34" s="28" t="n"/>
      <c r="Z34" s="28" t="n"/>
      <c r="AA34" s="28" t="n">
        <v>0.0023</v>
      </c>
      <c r="AB34" s="29" t="n">
        <v>2</v>
      </c>
      <c r="AC34" s="28" t="n"/>
      <c r="AD34" s="28" t="n">
        <v>0.0235</v>
      </c>
      <c r="AE34" s="28" t="n">
        <v>0.7267</v>
      </c>
      <c r="AF34" s="29" t="n">
        <v>13.85</v>
      </c>
      <c r="AG34" s="28" t="n">
        <v>0.0512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Johnny Pascuzzi</t>
        </is>
      </c>
      <c r="C35" s="35" t="n">
        <v>4</v>
      </c>
      <c r="D35" s="35" t="inlineStr"/>
      <c r="E35" s="42" t="inlineStr">
        <is>
          <t>ACT</t>
        </is>
      </c>
      <c r="F35" s="24" t="inlineStr"/>
      <c r="G35" s="24" t="inlineStr"/>
      <c r="H35" s="25" t="n"/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0.0023</v>
      </c>
      <c r="AB35" s="29" t="n"/>
      <c r="AC35" s="28" t="n"/>
      <c r="AD35" s="28" t="n">
        <v>0.0081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LAR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1065</v>
      </c>
      <c r="D4" s="10">
        <f>$C$4/$B$4</f>
        <v/>
      </c>
      <c r="E4" s="11" t="n">
        <v>0.5679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1086</v>
      </c>
      <c r="M4" s="14" t="n">
        <v>63.8824</v>
      </c>
      <c r="N4" s="15" t="n">
        <v>0.5718</v>
      </c>
      <c r="O4" s="13" t="n">
        <v>598</v>
      </c>
      <c r="P4" s="13" t="n">
        <v>465</v>
      </c>
      <c r="Q4" s="16" t="n">
        <v>7.8712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47.2</v>
      </c>
      <c r="C7" s="11" t="n">
        <v>0.3404</v>
      </c>
      <c r="D7" s="10">
        <f>$B$7*$C$7</f>
        <v/>
      </c>
      <c r="E7" s="10">
        <f>$B$7-$D$7</f>
        <v/>
      </c>
      <c r="F7" s="12" t="n">
        <v>4271</v>
      </c>
      <c r="G7" s="12" t="n">
        <v>1999</v>
      </c>
      <c r="H7" s="12">
        <f>$F$7</f>
        <v/>
      </c>
      <c r="L7" s="13" t="n">
        <v>4707</v>
      </c>
      <c r="M7" s="13" t="n">
        <v>2152</v>
      </c>
      <c r="N7" s="14" t="n">
        <v>46</v>
      </c>
      <c r="O7" s="14" t="n">
        <v>17</v>
      </c>
      <c r="P7" s="14" t="n">
        <v>63</v>
      </c>
      <c r="Q7" s="15" t="n">
        <v>0.2698412698412698</v>
      </c>
    </row>
    <row r="8"/>
    <row r="9">
      <c r="A9" s="5" t="inlineStr">
        <is>
          <t>NOTES</t>
        </is>
      </c>
      <c r="B9" s="18" t="inlineStr">
        <is>
          <t>0% of targets and 0% of carries left this roster.  HC unchanged. OC Nate Scheelhaase under Sean McVay. McVay retains play-calling; smooth transition expected.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Matthew Stafford</t>
        </is>
      </c>
      <c r="C12" s="22" t="n">
        <v>1</v>
      </c>
      <c r="D12" s="22" t="inlineStr">
        <is>
          <t>38</t>
        </is>
      </c>
      <c r="E12" s="23" t="inlineStr">
        <is>
          <t>ACT</t>
        </is>
      </c>
      <c r="F12" s="24" t="inlineStr">
        <is>
          <t>LAR</t>
        </is>
      </c>
      <c r="G12" s="24" t="inlineStr">
        <is>
          <t>17</t>
        </is>
      </c>
      <c r="H12" s="25" t="n">
        <v>0.988</v>
      </c>
      <c r="I12" s="25" t="n">
        <v>0.9983</v>
      </c>
      <c r="J12" s="25" t="n">
        <v>0.648</v>
      </c>
      <c r="K12" s="26" t="n">
        <v>7.65</v>
      </c>
      <c r="L12" s="25" t="n">
        <v>0.015</v>
      </c>
      <c r="M12" s="25" t="n">
        <v>0.0273</v>
      </c>
      <c r="N12" s="26" t="n"/>
      <c r="O12" s="25" t="n">
        <v>0.0805</v>
      </c>
      <c r="P12" s="25" t="n"/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0.8645</v>
      </c>
      <c r="Y12" s="28" t="n">
        <v>0.648</v>
      </c>
      <c r="Z12" s="28" t="n">
        <v>0.015</v>
      </c>
      <c r="AA12" s="28" t="n">
        <v>0.0397</v>
      </c>
      <c r="AB12" s="29" t="n">
        <v>2.49</v>
      </c>
      <c r="AC12" s="28" t="n"/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Ty Simpson</t>
        </is>
      </c>
      <c r="C13" s="35" t="n">
        <v>2</v>
      </c>
      <c r="D13" s="35" t="inlineStr">
        <is>
          <t>23</t>
        </is>
      </c>
      <c r="E13" s="42" t="inlineStr">
        <is>
          <t>ACT</t>
        </is>
      </c>
      <c r="F13" s="24" t="inlineStr"/>
      <c r="G13" s="24" t="inlineStr"/>
      <c r="H13" s="25" t="n"/>
      <c r="I13" s="25" t="n"/>
      <c r="J13" s="25" t="n"/>
      <c r="K13" s="26" t="n"/>
      <c r="L13" s="25" t="n"/>
      <c r="M13" s="25" t="n"/>
      <c r="N13" s="26" t="n"/>
      <c r="O13" s="25" t="n"/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0.0762</v>
      </c>
      <c r="Y13" s="28" t="n">
        <v>0.65</v>
      </c>
      <c r="Z13" s="28" t="n">
        <v>0.022</v>
      </c>
      <c r="AA13" s="28" t="n">
        <v>0.0172</v>
      </c>
      <c r="AB13" s="29" t="n">
        <v>4.5</v>
      </c>
      <c r="AC13" s="28" t="n"/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Stetson Bennett</t>
        </is>
      </c>
      <c r="C14" s="22" t="n">
        <v>3</v>
      </c>
      <c r="D14" s="22" t="inlineStr">
        <is>
          <t>28</t>
        </is>
      </c>
      <c r="E14" s="23" t="inlineStr">
        <is>
          <t>ACT</t>
        </is>
      </c>
      <c r="F14" s="24" t="inlineStr"/>
      <c r="G14" s="24" t="inlineStr"/>
      <c r="H14" s="25" t="n"/>
      <c r="I14" s="25" t="n"/>
      <c r="J14" s="25" t="n"/>
      <c r="K14" s="26" t="n"/>
      <c r="L14" s="25" t="n"/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0.0514</v>
      </c>
      <c r="Y14" s="28" t="n">
        <v>0.65</v>
      </c>
      <c r="Z14" s="28" t="n">
        <v>0.022</v>
      </c>
      <c r="AA14" s="28" t="n">
        <v>0.0077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Kyren Williams</t>
        </is>
      </c>
      <c r="C16" s="22" t="n">
        <v>1</v>
      </c>
      <c r="D16" s="22" t="inlineStr">
        <is>
          <t>26</t>
        </is>
      </c>
      <c r="E16" s="23" t="inlineStr">
        <is>
          <t>ACT</t>
        </is>
      </c>
      <c r="F16" s="24" t="inlineStr">
        <is>
          <t>LAR</t>
        </is>
      </c>
      <c r="G16" s="24" t="inlineStr">
        <is>
          <t>17</t>
        </is>
      </c>
      <c r="H16" s="25" t="n">
        <v>0.766</v>
      </c>
      <c r="I16" s="25" t="n"/>
      <c r="J16" s="25" t="n"/>
      <c r="K16" s="26" t="n"/>
      <c r="L16" s="25" t="n"/>
      <c r="M16" s="25" t="n">
        <v>0.59</v>
      </c>
      <c r="N16" s="26" t="n">
        <v>4.64</v>
      </c>
      <c r="O16" s="25" t="n">
        <v>0.5862000000000001</v>
      </c>
      <c r="P16" s="25" t="n">
        <v>0.5881999999999999</v>
      </c>
      <c r="Q16" s="25" t="n">
        <v>0.07389999999999999</v>
      </c>
      <c r="R16" s="25" t="n">
        <v>0.0861</v>
      </c>
      <c r="S16" s="25" t="n">
        <v>0.752</v>
      </c>
      <c r="T16" s="26" t="n">
        <v>6.85</v>
      </c>
      <c r="U16" s="25" t="n">
        <v>0.08740000000000001</v>
      </c>
      <c r="V16" s="25" t="n">
        <v>0.06519999999999999</v>
      </c>
      <c r="W16" s="27" t="n">
        <v>17</v>
      </c>
      <c r="X16" s="28" t="n"/>
      <c r="Y16" s="28" t="n"/>
      <c r="Z16" s="28" t="n"/>
      <c r="AA16" s="28" t="n">
        <v>0.5506</v>
      </c>
      <c r="AB16" s="29" t="n">
        <v>4.6</v>
      </c>
      <c r="AC16" s="28" t="n">
        <v>0.6303</v>
      </c>
      <c r="AD16" s="28" t="n">
        <v>0.0824</v>
      </c>
      <c r="AE16" s="28" t="n">
        <v>0.7516</v>
      </c>
      <c r="AF16" s="29" t="n">
        <v>6.56</v>
      </c>
      <c r="AG16" s="28" t="n">
        <v>0.08740000000000001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Blake Corum</t>
        </is>
      </c>
      <c r="C17" s="35" t="n">
        <v>2</v>
      </c>
      <c r="D17" s="35" t="inlineStr">
        <is>
          <t>25</t>
        </is>
      </c>
      <c r="E17" s="42" t="inlineStr">
        <is>
          <t>ACT</t>
        </is>
      </c>
      <c r="F17" s="24" t="inlineStr">
        <is>
          <t>LAR</t>
        </is>
      </c>
      <c r="G17" s="24" t="inlineStr">
        <is>
          <t>17</t>
        </is>
      </c>
      <c r="H17" s="25" t="n">
        <v>0.233</v>
      </c>
      <c r="I17" s="25" t="n"/>
      <c r="J17" s="25" t="n"/>
      <c r="K17" s="26" t="n"/>
      <c r="L17" s="25" t="n"/>
      <c r="M17" s="25" t="n">
        <v>0.3303</v>
      </c>
      <c r="N17" s="26" t="n">
        <v>4.55</v>
      </c>
      <c r="O17" s="25" t="n">
        <v>0.2989</v>
      </c>
      <c r="P17" s="25" t="n">
        <v>0.3529</v>
      </c>
      <c r="Q17" s="25" t="n">
        <v>0.0148</v>
      </c>
      <c r="R17" s="25" t="n">
        <v>0.0241</v>
      </c>
      <c r="S17" s="25" t="n"/>
      <c r="T17" s="26" t="n"/>
      <c r="U17" s="25" t="n">
        <v>0.0097</v>
      </c>
      <c r="V17" s="25" t="n"/>
      <c r="W17" s="27" t="n">
        <v>17</v>
      </c>
      <c r="X17" s="28" t="n"/>
      <c r="Y17" s="28" t="n"/>
      <c r="Z17" s="28" t="n"/>
      <c r="AA17" s="28" t="n">
        <v>0.2231</v>
      </c>
      <c r="AB17" s="29" t="n">
        <v>4.69</v>
      </c>
      <c r="AC17" s="28" t="n">
        <v>0.3152</v>
      </c>
      <c r="AD17" s="28" t="n">
        <v>0.0246</v>
      </c>
      <c r="AE17" s="28" t="n">
        <v>0.6853</v>
      </c>
      <c r="AF17" s="29" t="n">
        <v>6.27</v>
      </c>
      <c r="AG17" s="28" t="n"/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Ronnie Rivers</t>
        </is>
      </c>
      <c r="C18" s="22" t="n">
        <v>3</v>
      </c>
      <c r="D18" s="22" t="inlineStr">
        <is>
          <t>27</t>
        </is>
      </c>
      <c r="E18" s="23" t="inlineStr">
        <is>
          <t>ACT</t>
        </is>
      </c>
      <c r="F18" s="24" t="inlineStr">
        <is>
          <t>LAR</t>
        </is>
      </c>
      <c r="G18" s="24" t="inlineStr">
        <is>
          <t>11</t>
        </is>
      </c>
      <c r="H18" s="25" t="n">
        <v>0.147</v>
      </c>
      <c r="I18" s="25" t="n"/>
      <c r="J18" s="25" t="n"/>
      <c r="K18" s="26" t="n"/>
      <c r="L18" s="25" t="n"/>
      <c r="M18" s="25" t="n">
        <v>0.0205</v>
      </c>
      <c r="N18" s="26" t="n">
        <v>4.38</v>
      </c>
      <c r="O18" s="25" t="n"/>
      <c r="P18" s="25" t="n"/>
      <c r="Q18" s="25" t="n">
        <v>0.0111</v>
      </c>
      <c r="R18" s="25" t="n"/>
      <c r="S18" s="25" t="n"/>
      <c r="T18" s="26" t="n"/>
      <c r="U18" s="25" t="n"/>
      <c r="V18" s="25" t="n"/>
      <c r="W18" s="27" t="n">
        <v>17</v>
      </c>
      <c r="X18" s="28" t="n"/>
      <c r="Y18" s="28" t="n"/>
      <c r="Z18" s="28" t="n"/>
      <c r="AA18" s="28" t="n">
        <v>0.0308</v>
      </c>
      <c r="AB18" s="29" t="n">
        <v>4.35</v>
      </c>
      <c r="AC18" s="28" t="n"/>
      <c r="AD18" s="28" t="n">
        <v>0.0081</v>
      </c>
      <c r="AE18" s="28" t="n">
        <v>0.8768</v>
      </c>
      <c r="AF18" s="29" t="n">
        <v>5.6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Jordan Waters</t>
        </is>
      </c>
      <c r="C19" s="35" t="n">
        <v>4</v>
      </c>
      <c r="D19" s="35" t="inlineStr">
        <is>
          <t>25</t>
        </is>
      </c>
      <c r="E19" s="42" t="inlineStr">
        <is>
          <t>ACT</t>
        </is>
      </c>
      <c r="F19" s="24" t="inlineStr"/>
      <c r="G19" s="24" t="inlineStr"/>
      <c r="H19" s="25" t="n"/>
      <c r="I19" s="25" t="n"/>
      <c r="J19" s="25" t="n"/>
      <c r="K19" s="26" t="n"/>
      <c r="L19" s="25" t="n"/>
      <c r="M19" s="25" t="n"/>
      <c r="N19" s="26" t="n"/>
      <c r="O19" s="25" t="n"/>
      <c r="P19" s="25" t="n"/>
      <c r="Q19" s="25" t="n"/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0.0144</v>
      </c>
      <c r="AB19" s="29" t="n">
        <v>4.13</v>
      </c>
      <c r="AC19" s="28" t="n"/>
      <c r="AD19" s="28" t="n">
        <v>0.0045</v>
      </c>
      <c r="AE19" s="28" t="n">
        <v>0.75</v>
      </c>
      <c r="AF19" s="29" t="n">
        <v>7.13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40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Puka Nacua</t>
        </is>
      </c>
      <c r="C23" s="35" t="n">
        <v>1</v>
      </c>
      <c r="D23" s="35" t="inlineStr">
        <is>
          <t>25</t>
        </is>
      </c>
      <c r="E23" s="36" t="inlineStr">
        <is>
          <t>QUESTIONABLE</t>
        </is>
      </c>
      <c r="F23" s="24" t="inlineStr">
        <is>
          <t>LAR</t>
        </is>
      </c>
      <c r="G23" s="24" t="inlineStr">
        <is>
          <t>16</t>
        </is>
      </c>
      <c r="H23" s="25" t="n">
        <v>0.725</v>
      </c>
      <c r="I23" s="25" t="n"/>
      <c r="J23" s="25" t="n"/>
      <c r="K23" s="26" t="n"/>
      <c r="L23" s="25" t="n"/>
      <c r="M23" s="25" t="n">
        <v>0.0228</v>
      </c>
      <c r="N23" s="26" t="n"/>
      <c r="O23" s="25" t="n">
        <v>0.0115</v>
      </c>
      <c r="P23" s="25" t="n">
        <v>0.0588</v>
      </c>
      <c r="Q23" s="25" t="n">
        <v>0.1959</v>
      </c>
      <c r="R23" s="25" t="n">
        <v>0.2857</v>
      </c>
      <c r="S23" s="25" t="n">
        <v>0.742</v>
      </c>
      <c r="T23" s="26" t="n">
        <v>13.32</v>
      </c>
      <c r="U23" s="25" t="n">
        <v>0.1553</v>
      </c>
      <c r="V23" s="25" t="n">
        <v>0.2174</v>
      </c>
      <c r="W23" s="27" t="n">
        <v>17</v>
      </c>
      <c r="X23" s="28" t="n"/>
      <c r="Y23" s="28" t="n"/>
      <c r="Z23" s="28" t="n"/>
      <c r="AA23" s="28" t="n">
        <v>0.0213</v>
      </c>
      <c r="AB23" s="29" t="n"/>
      <c r="AC23" s="28" t="n">
        <v>0.0546</v>
      </c>
      <c r="AD23" s="28" t="n">
        <v>0.2472</v>
      </c>
      <c r="AE23" s="28" t="n">
        <v>0.742</v>
      </c>
      <c r="AF23" s="29" t="n">
        <v>13.39</v>
      </c>
      <c r="AG23" s="28" t="n">
        <v>0.219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Davante Adams</t>
        </is>
      </c>
      <c r="C24" s="22" t="n">
        <v>2</v>
      </c>
      <c r="D24" s="22" t="inlineStr">
        <is>
          <t>33</t>
        </is>
      </c>
      <c r="E24" s="23" t="inlineStr">
        <is>
          <t>ACT</t>
        </is>
      </c>
      <c r="F24" s="24" t="inlineStr">
        <is>
          <t>LAR</t>
        </is>
      </c>
      <c r="G24" s="24" t="inlineStr">
        <is>
          <t>14</t>
        </is>
      </c>
      <c r="H24" s="25" t="n">
        <v>0.8169999999999999</v>
      </c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>
        <v>0.1935</v>
      </c>
      <c r="R24" s="25" t="n">
        <v>0.1962</v>
      </c>
      <c r="S24" s="25" t="n">
        <v>0.5570000000000001</v>
      </c>
      <c r="T24" s="26" t="n">
        <v>12.55</v>
      </c>
      <c r="U24" s="25" t="n">
        <v>0.301</v>
      </c>
      <c r="V24" s="25" t="n">
        <v>0.3043</v>
      </c>
      <c r="W24" s="27" t="n">
        <v>17</v>
      </c>
      <c r="X24" s="28" t="n"/>
      <c r="Y24" s="28" t="n"/>
      <c r="Z24" s="28" t="n"/>
      <c r="AA24" s="28" t="n">
        <v>0.003</v>
      </c>
      <c r="AB24" s="29" t="n"/>
      <c r="AC24" s="28" t="n"/>
      <c r="AD24" s="28" t="n">
        <v>0.1957</v>
      </c>
      <c r="AE24" s="28" t="n">
        <v>0.5566</v>
      </c>
      <c r="AF24" s="29" t="n">
        <v>12.12</v>
      </c>
      <c r="AG24" s="28" t="n">
        <v>0.3348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Tutu Atwell</t>
        </is>
      </c>
      <c r="C25" s="35" t="n">
        <v>3</v>
      </c>
      <c r="D25" s="35" t="inlineStr">
        <is>
          <t>26</t>
        </is>
      </c>
      <c r="E25" s="42" t="inlineStr">
        <is>
          <t>ACT</t>
        </is>
      </c>
      <c r="F25" s="24" t="inlineStr">
        <is>
          <t>LAR</t>
        </is>
      </c>
      <c r="G25" s="24" t="inlineStr">
        <is>
          <t>10</t>
        </is>
      </c>
      <c r="H25" s="25" t="n">
        <v>0.386</v>
      </c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>
        <v>0.1146</v>
      </c>
      <c r="R25" s="25" t="n">
        <v>0.0258</v>
      </c>
      <c r="S25" s="25" t="n">
        <v>0.55</v>
      </c>
      <c r="T25" s="26" t="n">
        <v>13</v>
      </c>
      <c r="U25" s="25" t="n"/>
      <c r="V25" s="25" t="n">
        <v>0.0217</v>
      </c>
      <c r="W25" s="27" t="n">
        <v>17</v>
      </c>
      <c r="X25" s="28" t="n"/>
      <c r="Y25" s="28" t="n"/>
      <c r="Z25" s="28" t="n"/>
      <c r="AA25" s="28" t="n">
        <v>0.0056</v>
      </c>
      <c r="AB25" s="29" t="n"/>
      <c r="AC25" s="28" t="n"/>
      <c r="AD25" s="28" t="n">
        <v>0.083</v>
      </c>
      <c r="AE25" s="28" t="n">
        <v>0.5502</v>
      </c>
      <c r="AF25" s="29" t="n">
        <v>13</v>
      </c>
      <c r="AG25" s="28" t="n">
        <v>0.0594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Jordan Whittington</t>
        </is>
      </c>
      <c r="C26" s="22" t="n">
        <v>4</v>
      </c>
      <c r="D26" s="22" t="inlineStr">
        <is>
          <t>25</t>
        </is>
      </c>
      <c r="E26" s="23" t="inlineStr">
        <is>
          <t>ACT</t>
        </is>
      </c>
      <c r="F26" s="24" t="inlineStr">
        <is>
          <t>LAR</t>
        </is>
      </c>
      <c r="G26" s="24" t="inlineStr">
        <is>
          <t>17</t>
        </is>
      </c>
      <c r="H26" s="25" t="n">
        <v>0.388</v>
      </c>
      <c r="I26" s="25" t="n"/>
      <c r="J26" s="25" t="n"/>
      <c r="K26" s="26" t="n"/>
      <c r="L26" s="25" t="n"/>
      <c r="M26" s="25" t="n">
        <v>0.0068</v>
      </c>
      <c r="N26" s="26" t="n"/>
      <c r="O26" s="25" t="n">
        <v>0.0115</v>
      </c>
      <c r="P26" s="25" t="n"/>
      <c r="Q26" s="25" t="n">
        <v>0.0518</v>
      </c>
      <c r="R26" s="25" t="n">
        <v>0.043</v>
      </c>
      <c r="S26" s="25" t="n">
        <v>0.743</v>
      </c>
      <c r="T26" s="26" t="n">
        <v>10.82</v>
      </c>
      <c r="U26" s="25" t="n">
        <v>0.0097</v>
      </c>
      <c r="V26" s="25" t="n"/>
      <c r="W26" s="27" t="n">
        <v>17</v>
      </c>
      <c r="X26" s="28" t="n"/>
      <c r="Y26" s="28" t="n"/>
      <c r="Z26" s="28" t="n"/>
      <c r="AA26" s="28" t="n">
        <v>0.0046</v>
      </c>
      <c r="AB26" s="29" t="n">
        <v>4.8</v>
      </c>
      <c r="AC26" s="28" t="n"/>
      <c r="AD26" s="28" t="n">
        <v>0.0629</v>
      </c>
      <c r="AE26" s="28" t="n">
        <v>0.7427</v>
      </c>
      <c r="AF26" s="29" t="n">
        <v>11.6</v>
      </c>
      <c r="AG26" s="28" t="n"/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Konata Mumpfield</t>
        </is>
      </c>
      <c r="C27" s="35" t="n">
        <v>5</v>
      </c>
      <c r="D27" s="35" t="inlineStr">
        <is>
          <t>23</t>
        </is>
      </c>
      <c r="E27" s="42" t="inlineStr">
        <is>
          <t>ACT</t>
        </is>
      </c>
      <c r="F27" s="24" t="inlineStr">
        <is>
          <t>LAR</t>
        </is>
      </c>
      <c r="G27" s="24" t="inlineStr">
        <is>
          <t>17</t>
        </is>
      </c>
      <c r="H27" s="25" t="n">
        <v>0.322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/>
      <c r="R27" s="25" t="n">
        <v>0.0396</v>
      </c>
      <c r="S27" s="25" t="n">
        <v>0.435</v>
      </c>
      <c r="T27" s="26" t="n"/>
      <c r="U27" s="25" t="n">
        <v>0.0388</v>
      </c>
      <c r="V27" s="25" t="n">
        <v>0.0217</v>
      </c>
      <c r="W27" s="27" t="n">
        <v>17</v>
      </c>
      <c r="X27" s="28" t="n"/>
      <c r="Y27" s="28" t="n"/>
      <c r="Z27" s="28" t="n"/>
      <c r="AA27" s="28" t="n">
        <v>0.001</v>
      </c>
      <c r="AB27" s="29" t="n"/>
      <c r="AC27" s="28" t="n"/>
      <c r="AD27" s="28" t="n">
        <v>0.0469</v>
      </c>
      <c r="AE27" s="28" t="n">
        <v>0.4348</v>
      </c>
      <c r="AF27" s="29" t="n">
        <v>9.199999999999999</v>
      </c>
      <c r="AG27" s="28" t="n">
        <v>0.0235</v>
      </c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CJ Daniels</t>
        </is>
      </c>
      <c r="C28" s="22" t="n">
        <v>6</v>
      </c>
      <c r="D28" s="22" t="inlineStr">
        <is>
          <t>24</t>
        </is>
      </c>
      <c r="E28" s="23" t="inlineStr">
        <is>
          <t>ACT</t>
        </is>
      </c>
      <c r="F28" s="24" t="inlineStr"/>
      <c r="G28" s="24" t="inlineStr"/>
      <c r="H28" s="25" t="n"/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/>
      <c r="R28" s="25" t="n"/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0.002</v>
      </c>
      <c r="AB28" s="29" t="n"/>
      <c r="AC28" s="28" t="n"/>
      <c r="AD28" s="28" t="n">
        <v>0.022</v>
      </c>
      <c r="AE28" s="28" t="n">
        <v>0.65</v>
      </c>
      <c r="AF28" s="29" t="n">
        <v>12.84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Xavier Smith</t>
        </is>
      </c>
      <c r="C29" s="35" t="n">
        <v>7</v>
      </c>
      <c r="D29" s="35" t="inlineStr">
        <is>
          <t>28</t>
        </is>
      </c>
      <c r="E29" s="42" t="inlineStr">
        <is>
          <t>ACT</t>
        </is>
      </c>
      <c r="F29" s="24" t="inlineStr">
        <is>
          <t>LAR</t>
        </is>
      </c>
      <c r="G29" s="24" t="inlineStr">
        <is>
          <t>16</t>
        </is>
      </c>
      <c r="H29" s="25" t="n">
        <v>0.175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>
        <v>0.0037</v>
      </c>
      <c r="R29" s="25" t="n">
        <v>0.0413</v>
      </c>
      <c r="S29" s="25" t="n">
        <v>0.75</v>
      </c>
      <c r="T29" s="26" t="n">
        <v>16.83</v>
      </c>
      <c r="U29" s="25" t="n">
        <v>0.0291</v>
      </c>
      <c r="V29" s="25" t="n"/>
      <c r="W29" s="27" t="n">
        <v>17</v>
      </c>
      <c r="X29" s="28" t="n"/>
      <c r="Y29" s="28" t="n"/>
      <c r="Z29" s="28" t="n"/>
      <c r="AA29" s="28" t="n">
        <v>0.0062</v>
      </c>
      <c r="AB29" s="29" t="n"/>
      <c r="AC29" s="28" t="n"/>
      <c r="AD29" s="28" t="n">
        <v>0.0298</v>
      </c>
      <c r="AE29" s="28" t="n">
        <v>0.84</v>
      </c>
      <c r="AF29" s="29" t="n">
        <v>15.45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Brennan Presley</t>
        </is>
      </c>
      <c r="C30" s="22" t="n">
        <v>8</v>
      </c>
      <c r="D30" s="22" t="inlineStr">
        <is>
          <t>24</t>
        </is>
      </c>
      <c r="E30" s="23" t="inlineStr">
        <is>
          <t>ACT</t>
        </is>
      </c>
      <c r="F30" s="24" t="inlineStr"/>
      <c r="G30" s="24" t="inlineStr"/>
      <c r="H30" s="25" t="n"/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/>
      <c r="R30" s="25" t="n"/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0.002</v>
      </c>
      <c r="AB30" s="29" t="n"/>
      <c r="AC30" s="28" t="n"/>
      <c r="AD30" s="28" t="n">
        <v>0.005</v>
      </c>
      <c r="AE30" s="28" t="n">
        <v>0.65</v>
      </c>
      <c r="AF30" s="29" t="n">
        <v>12.84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Terrance Ferguson</t>
        </is>
      </c>
      <c r="C32" s="22" t="n">
        <v>1</v>
      </c>
      <c r="D32" s="22" t="inlineStr">
        <is>
          <t>23</t>
        </is>
      </c>
      <c r="E32" s="41" t="inlineStr">
        <is>
          <t>QUESTIONABLE</t>
        </is>
      </c>
      <c r="F32" s="24" t="inlineStr">
        <is>
          <t>LAR</t>
        </is>
      </c>
      <c r="G32" s="24" t="inlineStr">
        <is>
          <t>14</t>
        </is>
      </c>
      <c r="H32" s="25" t="n">
        <v>0.395</v>
      </c>
      <c r="I32" s="25" t="n"/>
      <c r="J32" s="25" t="n"/>
      <c r="K32" s="26" t="n"/>
      <c r="L32" s="25" t="n"/>
      <c r="M32" s="25" t="n">
        <v>0.0023</v>
      </c>
      <c r="N32" s="26" t="n"/>
      <c r="O32" s="25" t="n">
        <v>0.0115</v>
      </c>
      <c r="P32" s="25" t="n"/>
      <c r="Q32" s="25" t="n"/>
      <c r="R32" s="25" t="n">
        <v>0.043</v>
      </c>
      <c r="S32" s="25" t="n">
        <v>0.44</v>
      </c>
      <c r="T32" s="26" t="n"/>
      <c r="U32" s="25" t="n">
        <v>0.0291</v>
      </c>
      <c r="V32" s="25" t="n">
        <v>0.06519999999999999</v>
      </c>
      <c r="W32" s="27" t="n">
        <v>17</v>
      </c>
      <c r="X32" s="28" t="n"/>
      <c r="Y32" s="28" t="n"/>
      <c r="Z32" s="28" t="n"/>
      <c r="AA32" s="28" t="n">
        <v>0.0022</v>
      </c>
      <c r="AB32" s="29" t="n"/>
      <c r="AC32" s="28" t="n"/>
      <c r="AD32" s="28" t="n">
        <v>0.0737</v>
      </c>
      <c r="AE32" s="28" t="n">
        <v>0.44</v>
      </c>
      <c r="AF32" s="29" t="n">
        <v>10.32</v>
      </c>
      <c r="AG32" s="28" t="n">
        <v>0.0706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Colby Parkinson</t>
        </is>
      </c>
      <c r="C33" s="35" t="n">
        <v>2</v>
      </c>
      <c r="D33" s="35" t="inlineStr">
        <is>
          <t>27</t>
        </is>
      </c>
      <c r="E33" s="42" t="inlineStr">
        <is>
          <t>ACT</t>
        </is>
      </c>
      <c r="F33" s="24" t="inlineStr">
        <is>
          <t>LAR</t>
        </is>
      </c>
      <c r="G33" s="24" t="inlineStr">
        <is>
          <t>15</t>
        </is>
      </c>
      <c r="H33" s="25" t="n">
        <v>0.5610000000000001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0.0906</v>
      </c>
      <c r="R33" s="25" t="n">
        <v>0.0964</v>
      </c>
      <c r="S33" s="25" t="n">
        <v>0.711</v>
      </c>
      <c r="T33" s="26" t="n">
        <v>9.67</v>
      </c>
      <c r="U33" s="25" t="n">
        <v>0.1942</v>
      </c>
      <c r="V33" s="25" t="n">
        <v>0.1739</v>
      </c>
      <c r="W33" s="27" t="n">
        <v>17</v>
      </c>
      <c r="X33" s="28" t="n"/>
      <c r="Y33" s="28" t="n"/>
      <c r="Z33" s="28" t="n"/>
      <c r="AA33" s="28" t="n">
        <v>0.0008</v>
      </c>
      <c r="AB33" s="29" t="n"/>
      <c r="AC33" s="28" t="n"/>
      <c r="AD33" s="28" t="n">
        <v>0.0665</v>
      </c>
      <c r="AE33" s="28" t="n">
        <v>0.7113</v>
      </c>
      <c r="AF33" s="29" t="n">
        <v>9.68</v>
      </c>
      <c r="AG33" s="28" t="n">
        <v>0.124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Tyler Higbee</t>
        </is>
      </c>
      <c r="C34" s="22" t="n">
        <v>3</v>
      </c>
      <c r="D34" s="22" t="inlineStr">
        <is>
          <t>33</t>
        </is>
      </c>
      <c r="E34" s="23" t="inlineStr">
        <is>
          <t>ACT</t>
        </is>
      </c>
      <c r="F34" s="24" t="inlineStr">
        <is>
          <t>LAR</t>
        </is>
      </c>
      <c r="G34" s="24" t="inlineStr">
        <is>
          <t>10</t>
        </is>
      </c>
      <c r="H34" s="25" t="n">
        <v>0.549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0.0222</v>
      </c>
      <c r="R34" s="25" t="n">
        <v>0.062</v>
      </c>
      <c r="S34" s="25" t="n">
        <v>0.6860000000000001</v>
      </c>
      <c r="T34" s="26" t="n">
        <v>10.97</v>
      </c>
      <c r="U34" s="25" t="n">
        <v>0.07770000000000001</v>
      </c>
      <c r="V34" s="25" t="n">
        <v>0.06519999999999999</v>
      </c>
      <c r="W34" s="27" t="n">
        <v>17</v>
      </c>
      <c r="X34" s="28" t="n"/>
      <c r="Y34" s="28" t="n"/>
      <c r="Z34" s="28" t="n"/>
      <c r="AA34" s="28" t="n">
        <v>0.0008</v>
      </c>
      <c r="AB34" s="29" t="n"/>
      <c r="AC34" s="28" t="n"/>
      <c r="AD34" s="28" t="n">
        <v>0.0555</v>
      </c>
      <c r="AE34" s="28" t="n">
        <v>0.6839</v>
      </c>
      <c r="AF34" s="29" t="n">
        <v>10.53</v>
      </c>
      <c r="AG34" s="28" t="n">
        <v>0.07770000000000001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Davis Allen</t>
        </is>
      </c>
      <c r="C35" s="35" t="n">
        <v>4</v>
      </c>
      <c r="D35" s="35" t="inlineStr">
        <is>
          <t>25</t>
        </is>
      </c>
      <c r="E35" s="36" t="inlineStr">
        <is>
          <t>QUESTIONABLE</t>
        </is>
      </c>
      <c r="F35" s="24" t="inlineStr">
        <is>
          <t>LAR</t>
        </is>
      </c>
      <c r="G35" s="24" t="inlineStr">
        <is>
          <t>17</t>
        </is>
      </c>
      <c r="H35" s="25" t="n">
        <v>0.39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>
        <v>0.024</v>
      </c>
      <c r="R35" s="25" t="n">
        <v>0.0568</v>
      </c>
      <c r="S35" s="25" t="n">
        <v>0.727</v>
      </c>
      <c r="T35" s="26" t="n">
        <v>8.67</v>
      </c>
      <c r="U35" s="25" t="n">
        <v>0.068</v>
      </c>
      <c r="V35" s="25" t="n">
        <v>0.06519999999999999</v>
      </c>
      <c r="W35" s="27" t="n">
        <v>17</v>
      </c>
      <c r="X35" s="28" t="n"/>
      <c r="Y35" s="28" t="n"/>
      <c r="Z35" s="28" t="n"/>
      <c r="AA35" s="28" t="n">
        <v>0.0008</v>
      </c>
      <c r="AB35" s="29" t="n"/>
      <c r="AC35" s="28" t="n"/>
      <c r="AD35" s="28" t="n">
        <v>0.0306</v>
      </c>
      <c r="AE35" s="28" t="n">
        <v>0.6866</v>
      </c>
      <c r="AF35" s="29" t="n">
        <v>8.550000000000001</v>
      </c>
      <c r="AG35" s="28" t="n">
        <v>0.063</v>
      </c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LV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1018</v>
      </c>
      <c r="D4" s="10">
        <f>$C$4/$B$4</f>
        <v/>
      </c>
      <c r="E4" s="11" t="n">
        <v>0.6015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948</v>
      </c>
      <c r="M4" s="14" t="n">
        <v>55.7647</v>
      </c>
      <c r="N4" s="15" t="n">
        <v>0.6108</v>
      </c>
      <c r="O4" s="13" t="n">
        <v>515</v>
      </c>
      <c r="P4" s="13" t="n">
        <v>369</v>
      </c>
      <c r="Q4" s="16" t="n">
        <v>6.4369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33.9</v>
      </c>
      <c r="C7" s="11" t="n">
        <v>0.3125</v>
      </c>
      <c r="D7" s="10">
        <f>$B$7*$C$7</f>
        <v/>
      </c>
      <c r="E7" s="10">
        <f>$B$7-$D$7</f>
        <v/>
      </c>
      <c r="F7" s="12" t="n">
        <v>3731</v>
      </c>
      <c r="G7" s="12" t="n">
        <v>1557</v>
      </c>
      <c r="H7" s="12">
        <f>$F$7</f>
        <v/>
      </c>
      <c r="L7" s="13" t="n">
        <v>3315</v>
      </c>
      <c r="M7" s="13" t="n">
        <v>1317</v>
      </c>
      <c r="N7" s="14" t="n">
        <v>20</v>
      </c>
      <c r="O7" s="14" t="n">
        <v>5</v>
      </c>
      <c r="P7" s="14" t="n">
        <v>25</v>
      </c>
      <c r="Q7" s="15" t="n">
        <v>0.2</v>
      </c>
    </row>
    <row r="8"/>
    <row r="9">
      <c r="A9" s="5" t="inlineStr">
        <is>
          <t>NOTES</t>
        </is>
      </c>
      <c r="B9" s="18" t="inlineStr">
        <is>
          <t>15% of targets and 20% of carries left this roster.  NEW HC Klint Kubiak + OC Andrew Janocko. Balanced offense with established run-game emphasis.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Fernando Mendoza</t>
        </is>
      </c>
      <c r="C12" s="22" t="n">
        <v>1</v>
      </c>
      <c r="D12" s="22" t="inlineStr">
        <is>
          <t>22</t>
        </is>
      </c>
      <c r="E12" s="23" t="inlineStr">
        <is>
          <t>ACT</t>
        </is>
      </c>
      <c r="F12" s="24" t="inlineStr"/>
      <c r="G12" s="24" t="inlineStr"/>
      <c r="H12" s="25" t="n"/>
      <c r="I12" s="25" t="n"/>
      <c r="J12" s="25" t="n"/>
      <c r="K12" s="26" t="n"/>
      <c r="L12" s="25" t="n"/>
      <c r="M12" s="25" t="n"/>
      <c r="N12" s="26" t="n"/>
      <c r="O12" s="25" t="n"/>
      <c r="P12" s="25" t="n"/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0.5429</v>
      </c>
      <c r="Y12" s="28" t="n">
        <v>0.65</v>
      </c>
      <c r="Z12" s="28" t="n">
        <v>0.022</v>
      </c>
      <c r="AA12" s="28" t="n">
        <v>0.0654</v>
      </c>
      <c r="AB12" s="29" t="n">
        <v>4.5</v>
      </c>
      <c r="AC12" s="28" t="n"/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Kirk Cousins</t>
        </is>
      </c>
      <c r="C13" s="35" t="n">
        <v>2</v>
      </c>
      <c r="D13" s="35" t="inlineStr">
        <is>
          <t>38</t>
        </is>
      </c>
      <c r="E13" s="42" t="inlineStr">
        <is>
          <t>ACT</t>
        </is>
      </c>
      <c r="F13" s="24" t="inlineStr">
        <is>
          <t>ATL</t>
        </is>
      </c>
      <c r="G13" s="24" t="inlineStr">
        <is>
          <t>10</t>
        </is>
      </c>
      <c r="H13" s="25" t="n">
        <v>0.92</v>
      </c>
      <c r="I13" s="25" t="n">
        <v>0.4936</v>
      </c>
      <c r="J13" s="25" t="n">
        <v>0.649</v>
      </c>
      <c r="K13" s="26" t="n">
        <v>7.08</v>
      </c>
      <c r="L13" s="25" t="n">
        <v>0.025</v>
      </c>
      <c r="M13" s="25" t="n">
        <v>0.0172</v>
      </c>
      <c r="N13" s="26" t="n"/>
      <c r="O13" s="25" t="n">
        <v>0.0149</v>
      </c>
      <c r="P13" s="25" t="n">
        <v>0.0588</v>
      </c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0.1264</v>
      </c>
      <c r="Y13" s="28" t="n">
        <v>0.649</v>
      </c>
      <c r="Z13" s="28" t="n">
        <v>0.025</v>
      </c>
      <c r="AA13" s="28" t="n">
        <v>0.0196</v>
      </c>
      <c r="AB13" s="29" t="n">
        <v>4.5</v>
      </c>
      <c r="AC13" s="28" t="n">
        <v>0.0426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Aidan O'Connell</t>
        </is>
      </c>
      <c r="C14" s="22" t="n">
        <v>3</v>
      </c>
      <c r="D14" s="22" t="inlineStr">
        <is>
          <t>27</t>
        </is>
      </c>
      <c r="E14" s="23" t="inlineStr">
        <is>
          <t>ACT</t>
        </is>
      </c>
      <c r="F14" s="24" t="inlineStr">
        <is>
          <t>LV</t>
        </is>
      </c>
      <c r="G14" s="24" t="inlineStr">
        <is>
          <t>1</t>
        </is>
      </c>
      <c r="H14" s="25" t="n">
        <v>0.8070000000000001</v>
      </c>
      <c r="I14" s="25" t="n">
        <v>0.0427</v>
      </c>
      <c r="J14" s="25" t="n">
        <v>0.612</v>
      </c>
      <c r="K14" s="26" t="n">
        <v>6.38</v>
      </c>
      <c r="L14" s="25" t="n">
        <v>0.017</v>
      </c>
      <c r="M14" s="25" t="n">
        <v>0.0028</v>
      </c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0.3156</v>
      </c>
      <c r="Y14" s="28" t="n">
        <v>0.612</v>
      </c>
      <c r="Z14" s="28" t="n">
        <v>0.017</v>
      </c>
      <c r="AA14" s="28" t="n">
        <v>0.0205</v>
      </c>
      <c r="AB14" s="29" t="n">
        <v>4.5</v>
      </c>
      <c r="AC14" s="28" t="n">
        <v>0.06950000000000001</v>
      </c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Ashton Jeanty</t>
        </is>
      </c>
      <c r="C16" s="22" t="n">
        <v>1</v>
      </c>
      <c r="D16" s="22" t="inlineStr">
        <is>
          <t>22</t>
        </is>
      </c>
      <c r="E16" s="41" t="inlineStr">
        <is>
          <t>QUESTIONABLE</t>
        </is>
      </c>
      <c r="F16" s="24" t="inlineStr">
        <is>
          <t>LV</t>
        </is>
      </c>
      <c r="G16" s="24" t="inlineStr">
        <is>
          <t>17</t>
        </is>
      </c>
      <c r="H16" s="25" t="n">
        <v>0.779</v>
      </c>
      <c r="I16" s="25" t="n"/>
      <c r="J16" s="25" t="n"/>
      <c r="K16" s="26" t="n"/>
      <c r="L16" s="25" t="n"/>
      <c r="M16" s="25" t="n">
        <v>0.7328</v>
      </c>
      <c r="N16" s="26" t="n">
        <v>3.67</v>
      </c>
      <c r="O16" s="25" t="n">
        <v>0.7561</v>
      </c>
      <c r="P16" s="25" t="n">
        <v>1</v>
      </c>
      <c r="Q16" s="25" t="n"/>
      <c r="R16" s="25" t="n">
        <v>0.1478</v>
      </c>
      <c r="S16" s="25" t="n">
        <v>0.753</v>
      </c>
      <c r="T16" s="26" t="n">
        <v>6.29</v>
      </c>
      <c r="U16" s="25" t="n">
        <v>0.1754</v>
      </c>
      <c r="V16" s="25" t="n">
        <v>0.25</v>
      </c>
      <c r="W16" s="27" t="n">
        <v>17</v>
      </c>
      <c r="X16" s="28" t="n"/>
      <c r="Y16" s="28" t="n"/>
      <c r="Z16" s="28" t="n"/>
      <c r="AA16" s="28" t="n">
        <v>0.5825</v>
      </c>
      <c r="AB16" s="29" t="n">
        <v>3.67</v>
      </c>
      <c r="AC16" s="28" t="n">
        <v>0.7248</v>
      </c>
      <c r="AD16" s="28" t="n">
        <v>0.1329</v>
      </c>
      <c r="AE16" s="28" t="n">
        <v>0.7534</v>
      </c>
      <c r="AF16" s="29" t="n">
        <v>6.29</v>
      </c>
      <c r="AG16" s="28" t="n">
        <v>0.235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Mike Washington</t>
        </is>
      </c>
      <c r="C17" s="35" t="n">
        <v>2</v>
      </c>
      <c r="D17" s="35" t="inlineStr">
        <is>
          <t>23</t>
        </is>
      </c>
      <c r="E17" s="42" t="inlineStr">
        <is>
          <t>ACT</t>
        </is>
      </c>
      <c r="F17" s="24" t="inlineStr"/>
      <c r="G17" s="24" t="inlineStr"/>
      <c r="H17" s="25" t="n"/>
      <c r="I17" s="25" t="n"/>
      <c r="J17" s="25" t="n"/>
      <c r="K17" s="26" t="n"/>
      <c r="L17" s="25" t="n"/>
      <c r="M17" s="25" t="n"/>
      <c r="N17" s="26" t="n"/>
      <c r="O17" s="25" t="n"/>
      <c r="P17" s="25" t="n"/>
      <c r="Q17" s="25" t="n"/>
      <c r="R17" s="25" t="n"/>
      <c r="S17" s="25" t="n"/>
      <c r="T17" s="26" t="n"/>
      <c r="U17" s="25" t="n"/>
      <c r="V17" s="25" t="n"/>
      <c r="W17" s="27" t="n">
        <v>17</v>
      </c>
      <c r="X17" s="28" t="n"/>
      <c r="Y17" s="28" t="n"/>
      <c r="Z17" s="28" t="n"/>
      <c r="AA17" s="28" t="n">
        <v>0.1716</v>
      </c>
      <c r="AB17" s="29" t="n">
        <v>4.13</v>
      </c>
      <c r="AC17" s="28" t="n"/>
      <c r="AD17" s="28" t="n">
        <v>0.0479</v>
      </c>
      <c r="AE17" s="28" t="n">
        <v>0.75</v>
      </c>
      <c r="AF17" s="29" t="n">
        <v>7.13</v>
      </c>
      <c r="AG17" s="28" t="n"/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Dylan Laube</t>
        </is>
      </c>
      <c r="C18" s="22" t="n">
        <v>3</v>
      </c>
      <c r="D18" s="22" t="inlineStr">
        <is>
          <t>26</t>
        </is>
      </c>
      <c r="E18" s="23" t="inlineStr">
        <is>
          <t>ACT</t>
        </is>
      </c>
      <c r="F18" s="24" t="inlineStr">
        <is>
          <t>LV</t>
        </is>
      </c>
      <c r="G18" s="24" t="inlineStr">
        <is>
          <t>17</t>
        </is>
      </c>
      <c r="H18" s="25" t="n">
        <v>0.06900000000000001</v>
      </c>
      <c r="I18" s="25" t="n"/>
      <c r="J18" s="25" t="n"/>
      <c r="K18" s="26" t="n"/>
      <c r="L18" s="25" t="n"/>
      <c r="M18" s="25" t="n">
        <v>0.0193</v>
      </c>
      <c r="N18" s="26" t="n"/>
      <c r="O18" s="25" t="n"/>
      <c r="P18" s="25" t="n"/>
      <c r="Q18" s="25" t="n"/>
      <c r="R18" s="25" t="n">
        <v>0.0081</v>
      </c>
      <c r="S18" s="25" t="n"/>
      <c r="T18" s="26" t="n"/>
      <c r="U18" s="25" t="n"/>
      <c r="V18" s="25" t="n"/>
      <c r="W18" s="27" t="n">
        <v>17</v>
      </c>
      <c r="X18" s="28" t="n"/>
      <c r="Y18" s="28" t="n"/>
      <c r="Z18" s="28" t="n"/>
      <c r="AA18" s="28" t="n">
        <v>0.0475</v>
      </c>
      <c r="AB18" s="29" t="n">
        <v>4.13</v>
      </c>
      <c r="AC18" s="28" t="n"/>
      <c r="AD18" s="28" t="n">
        <v>0.0129</v>
      </c>
      <c r="AE18" s="28" t="n">
        <v>0.75</v>
      </c>
      <c r="AF18" s="29" t="n">
        <v>6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Roman Hemby</t>
        </is>
      </c>
      <c r="C19" s="35" t="n">
        <v>4</v>
      </c>
      <c r="D19" s="35" t="inlineStr">
        <is>
          <t>24</t>
        </is>
      </c>
      <c r="E19" s="42" t="inlineStr">
        <is>
          <t>ACT</t>
        </is>
      </c>
      <c r="F19" s="24" t="inlineStr"/>
      <c r="G19" s="24" t="inlineStr"/>
      <c r="H19" s="25" t="n"/>
      <c r="I19" s="25" t="n"/>
      <c r="J19" s="25" t="n"/>
      <c r="K19" s="26" t="n"/>
      <c r="L19" s="25" t="n"/>
      <c r="M19" s="25" t="n"/>
      <c r="N19" s="26" t="n"/>
      <c r="O19" s="25" t="n"/>
      <c r="P19" s="25" t="n"/>
      <c r="Q19" s="25" t="n"/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0.0301</v>
      </c>
      <c r="AB19" s="29" t="n">
        <v>4.13</v>
      </c>
      <c r="AC19" s="28" t="n"/>
      <c r="AD19" s="28" t="n">
        <v>0.008</v>
      </c>
      <c r="AE19" s="28" t="n">
        <v>0.75</v>
      </c>
      <c r="AF19" s="29" t="n">
        <v>7.13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Jalen Richard</t>
        </is>
      </c>
      <c r="C20" s="22" t="n">
        <v>5</v>
      </c>
      <c r="D20" s="22" t="inlineStr">
        <is>
          <t>28</t>
        </is>
      </c>
      <c r="E20" s="23" t="inlineStr">
        <is>
          <t>ACT</t>
        </is>
      </c>
      <c r="F20" s="24" t="inlineStr"/>
      <c r="G20" s="24" t="inlineStr"/>
      <c r="H20" s="25" t="n"/>
      <c r="I20" s="25" t="n"/>
      <c r="J20" s="25" t="n"/>
      <c r="K20" s="26" t="n"/>
      <c r="L20" s="25" t="n"/>
      <c r="M20" s="25" t="n"/>
      <c r="N20" s="26" t="n"/>
      <c r="O20" s="25" t="n"/>
      <c r="P20" s="25" t="n"/>
      <c r="Q20" s="25" t="n"/>
      <c r="R20" s="25" t="n"/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0.0113</v>
      </c>
      <c r="AB20" s="29" t="n">
        <v>4.13</v>
      </c>
      <c r="AC20" s="28" t="n"/>
      <c r="AD20" s="28" t="n">
        <v>0.0042</v>
      </c>
      <c r="AE20" s="28" t="n">
        <v>0.75</v>
      </c>
      <c r="AF20" s="29" t="n">
        <v>7.13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Tre Tucker</t>
        </is>
      </c>
      <c r="C23" s="35" t="n">
        <v>1</v>
      </c>
      <c r="D23" s="35" t="inlineStr">
        <is>
          <t>25</t>
        </is>
      </c>
      <c r="E23" s="42" t="inlineStr">
        <is>
          <t>ACT</t>
        </is>
      </c>
      <c r="F23" s="24" t="inlineStr">
        <is>
          <t>LV</t>
        </is>
      </c>
      <c r="G23" s="24" t="inlineStr">
        <is>
          <t>17</t>
        </is>
      </c>
      <c r="H23" s="25" t="n">
        <v>0.801</v>
      </c>
      <c r="I23" s="25" t="n"/>
      <c r="J23" s="25" t="n"/>
      <c r="K23" s="26" t="n"/>
      <c r="L23" s="25" t="n"/>
      <c r="M23" s="25" t="n">
        <v>0.0303</v>
      </c>
      <c r="N23" s="26" t="n"/>
      <c r="O23" s="25" t="n"/>
      <c r="P23" s="25" t="n"/>
      <c r="Q23" s="25" t="n">
        <v>0.1368</v>
      </c>
      <c r="R23" s="25" t="n">
        <v>0.1862</v>
      </c>
      <c r="S23" s="25" t="n">
        <v>0.596</v>
      </c>
      <c r="T23" s="26" t="n">
        <v>12.98</v>
      </c>
      <c r="U23" s="25" t="n">
        <v>0.1579</v>
      </c>
      <c r="V23" s="25" t="n">
        <v>0.25</v>
      </c>
      <c r="W23" s="27" t="n">
        <v>17</v>
      </c>
      <c r="X23" s="28" t="n"/>
      <c r="Y23" s="28" t="n"/>
      <c r="Z23" s="28" t="n"/>
      <c r="AA23" s="28" t="n">
        <v>0.0226</v>
      </c>
      <c r="AB23" s="29" t="n">
        <v>5.73</v>
      </c>
      <c r="AC23" s="28" t="n">
        <v>0.0725</v>
      </c>
      <c r="AD23" s="28" t="n">
        <v>0.1867</v>
      </c>
      <c r="AE23" s="28" t="n">
        <v>0.5961</v>
      </c>
      <c r="AF23" s="29" t="n">
        <v>12.73</v>
      </c>
      <c r="AG23" s="28" t="n">
        <v>0.1819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Jalen Nailor</t>
        </is>
      </c>
      <c r="C24" s="22" t="n">
        <v>2</v>
      </c>
      <c r="D24" s="22" t="inlineStr">
        <is>
          <t>27</t>
        </is>
      </c>
      <c r="E24" s="23" t="inlineStr">
        <is>
          <t>ACT</t>
        </is>
      </c>
      <c r="F24" s="24" t="inlineStr">
        <is>
          <t>MIN</t>
        </is>
      </c>
      <c r="G24" s="24" t="inlineStr">
        <is>
          <t>17</t>
        </is>
      </c>
      <c r="H24" s="25" t="n">
        <v>0.536</v>
      </c>
      <c r="I24" s="25" t="n"/>
      <c r="J24" s="25" t="n"/>
      <c r="K24" s="26" t="n"/>
      <c r="L24" s="25" t="n"/>
      <c r="M24" s="25" t="n">
        <v>0.0051</v>
      </c>
      <c r="N24" s="26" t="n"/>
      <c r="O24" s="25" t="n"/>
      <c r="P24" s="25" t="n"/>
      <c r="Q24" s="25" t="n">
        <v>0.08119999999999999</v>
      </c>
      <c r="R24" s="25" t="n">
        <v>0.1132</v>
      </c>
      <c r="S24" s="25" t="n">
        <v>0.592</v>
      </c>
      <c r="T24" s="26" t="n">
        <v>15.11</v>
      </c>
      <c r="U24" s="25" t="n">
        <v>0.1549</v>
      </c>
      <c r="V24" s="25" t="n">
        <v>0.2222</v>
      </c>
      <c r="W24" s="27" t="n">
        <v>17</v>
      </c>
      <c r="X24" s="28" t="n"/>
      <c r="Y24" s="28" t="n"/>
      <c r="Z24" s="28" t="n"/>
      <c r="AA24" s="28" t="n">
        <v>0.0071</v>
      </c>
      <c r="AB24" s="29" t="n"/>
      <c r="AC24" s="28" t="n"/>
      <c r="AD24" s="28" t="n">
        <v>0.1474</v>
      </c>
      <c r="AE24" s="28" t="n">
        <v>0.5845</v>
      </c>
      <c r="AF24" s="29" t="n">
        <v>14.78</v>
      </c>
      <c r="AG24" s="28" t="n">
        <v>0.191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Malik Benson</t>
        </is>
      </c>
      <c r="C25" s="35" t="n">
        <v>3</v>
      </c>
      <c r="D25" s="35" t="inlineStr">
        <is>
          <t>23</t>
        </is>
      </c>
      <c r="E25" s="42" t="inlineStr">
        <is>
          <t>ACT</t>
        </is>
      </c>
      <c r="F25" s="24" t="inlineStr"/>
      <c r="G25" s="24" t="inlineStr"/>
      <c r="H25" s="25" t="n"/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/>
      <c r="R25" s="25" t="n"/>
      <c r="S25" s="25" t="n"/>
      <c r="T25" s="26" t="n"/>
      <c r="U25" s="25" t="n"/>
      <c r="V25" s="25" t="n"/>
      <c r="W25" s="27" t="n">
        <v>17</v>
      </c>
      <c r="X25" s="28" t="n"/>
      <c r="Y25" s="28" t="n"/>
      <c r="Z25" s="28" t="n"/>
      <c r="AA25" s="28" t="n">
        <v>0.0021</v>
      </c>
      <c r="AB25" s="29" t="n"/>
      <c r="AC25" s="28" t="n"/>
      <c r="AD25" s="28" t="n">
        <v>0.0168</v>
      </c>
      <c r="AE25" s="28" t="n">
        <v>0.65</v>
      </c>
      <c r="AF25" s="29" t="n">
        <v>12.84</v>
      </c>
      <c r="AG25" s="28" t="n"/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Jack Bech</t>
        </is>
      </c>
      <c r="C26" s="22" t="n">
        <v>4</v>
      </c>
      <c r="D26" s="22" t="inlineStr">
        <is>
          <t>23</t>
        </is>
      </c>
      <c r="E26" s="23" t="inlineStr">
        <is>
          <t>ACT</t>
        </is>
      </c>
      <c r="F26" s="24" t="inlineStr">
        <is>
          <t>LV</t>
        </is>
      </c>
      <c r="G26" s="24" t="inlineStr">
        <is>
          <t>16</t>
        </is>
      </c>
      <c r="H26" s="25" t="n">
        <v>0.424</v>
      </c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/>
      <c r="R26" s="25" t="n">
        <v>0.0587</v>
      </c>
      <c r="S26" s="25" t="n">
        <v>0.6899999999999999</v>
      </c>
      <c r="T26" s="26" t="n">
        <v>11.2</v>
      </c>
      <c r="U26" s="25" t="n">
        <v>0.0702</v>
      </c>
      <c r="V26" s="25" t="n"/>
      <c r="W26" s="27" t="n">
        <v>17</v>
      </c>
      <c r="X26" s="28" t="n"/>
      <c r="Y26" s="28" t="n"/>
      <c r="Z26" s="28" t="n"/>
      <c r="AA26" s="28" t="n">
        <v>0.0019</v>
      </c>
      <c r="AB26" s="29" t="n"/>
      <c r="AC26" s="28" t="n"/>
      <c r="AD26" s="28" t="n">
        <v>0.0673</v>
      </c>
      <c r="AE26" s="28" t="n">
        <v>0.6897</v>
      </c>
      <c r="AF26" s="29" t="n">
        <v>11.2</v>
      </c>
      <c r="AG26" s="28" t="n"/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Dont'e Thornton</t>
        </is>
      </c>
      <c r="C27" s="35" t="n">
        <v>5</v>
      </c>
      <c r="D27" s="35" t="inlineStr">
        <is>
          <t>23</t>
        </is>
      </c>
      <c r="E27" s="36" t="inlineStr">
        <is>
          <t>QUESTIONABLE</t>
        </is>
      </c>
      <c r="F27" s="24" t="inlineStr">
        <is>
          <t>LV</t>
        </is>
      </c>
      <c r="G27" s="24" t="inlineStr">
        <is>
          <t>15</t>
        </is>
      </c>
      <c r="H27" s="25" t="n">
        <v>0.453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/>
      <c r="R27" s="25" t="n">
        <v>0.0607</v>
      </c>
      <c r="S27" s="25" t="n">
        <v>0.333</v>
      </c>
      <c r="T27" s="26" t="n"/>
      <c r="U27" s="25" t="n">
        <v>0.0351</v>
      </c>
      <c r="V27" s="25" t="n"/>
      <c r="W27" s="27" t="n">
        <v>17</v>
      </c>
      <c r="X27" s="28" t="n"/>
      <c r="Y27" s="28" t="n"/>
      <c r="Z27" s="28" t="n"/>
      <c r="AA27" s="28" t="n">
        <v>0.0014</v>
      </c>
      <c r="AB27" s="29" t="n"/>
      <c r="AC27" s="28" t="n"/>
      <c r="AD27" s="28" t="n">
        <v>0.0562</v>
      </c>
      <c r="AE27" s="28" t="n">
        <v>0.3333</v>
      </c>
      <c r="AF27" s="29" t="n">
        <v>13.5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Dareke Young</t>
        </is>
      </c>
      <c r="C28" s="22" t="n">
        <v>6</v>
      </c>
      <c r="D28" s="22" t="inlineStr">
        <is>
          <t>27</t>
        </is>
      </c>
      <c r="E28" s="23" t="inlineStr">
        <is>
          <t>ACT</t>
        </is>
      </c>
      <c r="F28" s="24" t="inlineStr">
        <is>
          <t>SEA</t>
        </is>
      </c>
      <c r="G28" s="24" t="inlineStr">
        <is>
          <t>9</t>
        </is>
      </c>
      <c r="H28" s="25" t="n">
        <v>0.075</v>
      </c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>
        <v>0.0018</v>
      </c>
      <c r="R28" s="25" t="n">
        <v>0.0066</v>
      </c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0.0019</v>
      </c>
      <c r="AB28" s="29" t="n"/>
      <c r="AC28" s="28" t="n"/>
      <c r="AD28" s="28" t="n">
        <v>0.008800000000000001</v>
      </c>
      <c r="AE28" s="28" t="n">
        <v>0.6667</v>
      </c>
      <c r="AF28" s="29" t="n">
        <v>12.84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Shedrick Jackson</t>
        </is>
      </c>
      <c r="C29" s="35" t="n">
        <v>7</v>
      </c>
      <c r="D29" s="35" t="inlineStr">
        <is>
          <t>26</t>
        </is>
      </c>
      <c r="E29" s="42" t="inlineStr">
        <is>
          <t>ACT</t>
        </is>
      </c>
      <c r="F29" s="24" t="inlineStr">
        <is>
          <t>LV</t>
        </is>
      </c>
      <c r="G29" s="24" t="inlineStr">
        <is>
          <t>5</t>
        </is>
      </c>
      <c r="H29" s="25" t="n">
        <v>0.08699999999999999</v>
      </c>
      <c r="I29" s="25" t="n"/>
      <c r="J29" s="25" t="n"/>
      <c r="K29" s="26" t="n"/>
      <c r="L29" s="25" t="n"/>
      <c r="M29" s="25" t="n">
        <v>0.0028</v>
      </c>
      <c r="N29" s="26" t="n"/>
      <c r="O29" s="25" t="n"/>
      <c r="P29" s="25" t="n"/>
      <c r="Q29" s="25" t="n"/>
      <c r="R29" s="25" t="n">
        <v>0.0101</v>
      </c>
      <c r="S29" s="25" t="n"/>
      <c r="T29" s="26" t="n"/>
      <c r="U29" s="25" t="n"/>
      <c r="V29" s="25" t="n">
        <v>0.05</v>
      </c>
      <c r="W29" s="27" t="n">
        <v>17</v>
      </c>
      <c r="X29" s="28" t="n"/>
      <c r="Y29" s="28" t="n"/>
      <c r="Z29" s="28" t="n"/>
      <c r="AA29" s="28" t="n">
        <v>0.0021</v>
      </c>
      <c r="AB29" s="29" t="n"/>
      <c r="AC29" s="28" t="n"/>
      <c r="AD29" s="28" t="n">
        <v>0.0072</v>
      </c>
      <c r="AE29" s="28" t="n">
        <v>0.8</v>
      </c>
      <c r="AF29" s="29" t="n">
        <v>12.84</v>
      </c>
      <c r="AG29" s="28" t="n">
        <v>0.0449</v>
      </c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Phillip Dorsett</t>
        </is>
      </c>
      <c r="C30" s="22" t="n">
        <v>8</v>
      </c>
      <c r="D30" s="22" t="inlineStr">
        <is>
          <t>33</t>
        </is>
      </c>
      <c r="E30" s="23" t="inlineStr">
        <is>
          <t>ACT</t>
        </is>
      </c>
      <c r="F30" s="24" t="inlineStr"/>
      <c r="G30" s="24" t="inlineStr"/>
      <c r="H30" s="25" t="n">
        <v>0.25</v>
      </c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/>
      <c r="R30" s="25" t="n"/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0.0008</v>
      </c>
      <c r="AB30" s="29" t="n"/>
      <c r="AC30" s="28" t="n"/>
      <c r="AD30" s="28" t="n">
        <v>0.0062</v>
      </c>
      <c r="AE30" s="28" t="n">
        <v>0.619</v>
      </c>
      <c r="AF30" s="29" t="n">
        <v>12.84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Brock Bowers</t>
        </is>
      </c>
      <c r="C32" s="22" t="n">
        <v>1</v>
      </c>
      <c r="D32" s="22" t="inlineStr">
        <is>
          <t>23</t>
        </is>
      </c>
      <c r="E32" s="23" t="inlineStr">
        <is>
          <t>ACT</t>
        </is>
      </c>
      <c r="F32" s="24" t="inlineStr">
        <is>
          <t>LV</t>
        </is>
      </c>
      <c r="G32" s="24" t="inlineStr">
        <is>
          <t>12</t>
        </is>
      </c>
      <c r="H32" s="25" t="n">
        <v>0.856</v>
      </c>
      <c r="I32" s="25" t="n"/>
      <c r="J32" s="25" t="n"/>
      <c r="K32" s="26" t="n"/>
      <c r="L32" s="25" t="n"/>
      <c r="M32" s="25" t="n">
        <v>0.0055</v>
      </c>
      <c r="N32" s="26" t="n"/>
      <c r="O32" s="25" t="n"/>
      <c r="P32" s="25" t="n"/>
      <c r="Q32" s="25" t="n">
        <v>0.2584</v>
      </c>
      <c r="R32" s="25" t="n">
        <v>0.1741</v>
      </c>
      <c r="S32" s="25" t="n">
        <v>0.739</v>
      </c>
      <c r="T32" s="26" t="n">
        <v>10.64</v>
      </c>
      <c r="U32" s="25" t="n">
        <v>0.2807</v>
      </c>
      <c r="V32" s="25" t="n">
        <v>0.35</v>
      </c>
      <c r="W32" s="27" t="n">
        <v>17</v>
      </c>
      <c r="X32" s="28" t="n"/>
      <c r="Y32" s="28" t="n"/>
      <c r="Z32" s="28" t="n"/>
      <c r="AA32" s="28" t="n">
        <v>0.0071</v>
      </c>
      <c r="AB32" s="29" t="n">
        <v>2.14</v>
      </c>
      <c r="AC32" s="28" t="n"/>
      <c r="AD32" s="28" t="n">
        <v>0.1954</v>
      </c>
      <c r="AE32" s="28" t="n">
        <v>0.7386</v>
      </c>
      <c r="AF32" s="29" t="n">
        <v>10.65</v>
      </c>
      <c r="AG32" s="28" t="n">
        <v>0.2915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Michael Mayer</t>
        </is>
      </c>
      <c r="C33" s="35" t="n">
        <v>2</v>
      </c>
      <c r="D33" s="35" t="inlineStr">
        <is>
          <t>25</t>
        </is>
      </c>
      <c r="E33" s="42" t="inlineStr">
        <is>
          <t>ACT</t>
        </is>
      </c>
      <c r="F33" s="24" t="inlineStr">
        <is>
          <t>LV</t>
        </is>
      </c>
      <c r="G33" s="24" t="inlineStr">
        <is>
          <t>13</t>
        </is>
      </c>
      <c r="H33" s="25" t="n">
        <v>0.64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0.0541</v>
      </c>
      <c r="R33" s="25" t="n">
        <v>0.1012</v>
      </c>
      <c r="S33" s="25" t="n">
        <v>0.6830000000000001</v>
      </c>
      <c r="T33" s="26" t="n">
        <v>9.279999999999999</v>
      </c>
      <c r="U33" s="25" t="n">
        <v>0.1053</v>
      </c>
      <c r="V33" s="25" t="n">
        <v>0.05</v>
      </c>
      <c r="W33" s="27" t="n">
        <v>17</v>
      </c>
      <c r="X33" s="28" t="n"/>
      <c r="Y33" s="28" t="n"/>
      <c r="Z33" s="28" t="n"/>
      <c r="AA33" s="28" t="n">
        <v>0.0008</v>
      </c>
      <c r="AB33" s="29" t="n"/>
      <c r="AC33" s="28" t="n"/>
      <c r="AD33" s="28" t="n">
        <v>0.0752</v>
      </c>
      <c r="AE33" s="28" t="n">
        <v>0.6830000000000001</v>
      </c>
      <c r="AF33" s="29" t="n">
        <v>9.49</v>
      </c>
      <c r="AG33" s="28" t="n">
        <v>0.0612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Connor Heyward</t>
        </is>
      </c>
      <c r="C34" s="22" t="n">
        <v>3</v>
      </c>
      <c r="D34" s="22" t="inlineStr">
        <is>
          <t>27</t>
        </is>
      </c>
      <c r="E34" s="23" t="inlineStr">
        <is>
          <t>ACT</t>
        </is>
      </c>
      <c r="F34" s="24" t="inlineStr">
        <is>
          <t>PIT</t>
        </is>
      </c>
      <c r="G34" s="24" t="inlineStr">
        <is>
          <t>17</t>
        </is>
      </c>
      <c r="H34" s="25" t="n">
        <v>0.175</v>
      </c>
      <c r="I34" s="25" t="n"/>
      <c r="J34" s="25" t="n"/>
      <c r="K34" s="26" t="n"/>
      <c r="L34" s="25" t="n"/>
      <c r="M34" s="25" t="n">
        <v>0.038</v>
      </c>
      <c r="N34" s="26" t="n"/>
      <c r="O34" s="25" t="n">
        <v>0.0649</v>
      </c>
      <c r="P34" s="25" t="n">
        <v>0.125</v>
      </c>
      <c r="Q34" s="25" t="n">
        <v>0.0174</v>
      </c>
      <c r="R34" s="25" t="n">
        <v>0.0077</v>
      </c>
      <c r="S34" s="25" t="n">
        <v>0.676</v>
      </c>
      <c r="T34" s="26" t="n">
        <v>7.26</v>
      </c>
      <c r="U34" s="25" t="n">
        <v>0.0274</v>
      </c>
      <c r="V34" s="25" t="n">
        <v>0.0385</v>
      </c>
      <c r="W34" s="27" t="n">
        <v>17</v>
      </c>
      <c r="X34" s="28" t="n"/>
      <c r="Y34" s="28" t="n"/>
      <c r="Z34" s="28" t="n"/>
      <c r="AA34" s="28" t="n">
        <v>0.0021</v>
      </c>
      <c r="AB34" s="29" t="n">
        <v>2.69</v>
      </c>
      <c r="AC34" s="28" t="n">
        <v>0.0906</v>
      </c>
      <c r="AD34" s="28" t="n">
        <v>0.0062</v>
      </c>
      <c r="AE34" s="28" t="n">
        <v>0.7353</v>
      </c>
      <c r="AF34" s="29" t="n">
        <v>7.12</v>
      </c>
      <c r="AG34" s="28" t="n">
        <v>0.0394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Ian Thomas</t>
        </is>
      </c>
      <c r="C35" s="35" t="n">
        <v>4</v>
      </c>
      <c r="D35" s="35" t="inlineStr">
        <is>
          <t>30</t>
        </is>
      </c>
      <c r="E35" s="42" t="inlineStr">
        <is>
          <t>ACT</t>
        </is>
      </c>
      <c r="F35" s="24" t="inlineStr">
        <is>
          <t>LV</t>
        </is>
      </c>
      <c r="G35" s="24" t="inlineStr">
        <is>
          <t>15</t>
        </is>
      </c>
      <c r="H35" s="25" t="n">
        <v>0.336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>
        <v>0.0116</v>
      </c>
      <c r="R35" s="25" t="n">
        <v>0.0263</v>
      </c>
      <c r="S35" s="25" t="n"/>
      <c r="T35" s="26" t="n">
        <v>8.77</v>
      </c>
      <c r="U35" s="25" t="n"/>
      <c r="V35" s="25" t="n"/>
      <c r="W35" s="27" t="n">
        <v>17</v>
      </c>
      <c r="X35" s="28" t="n"/>
      <c r="Y35" s="28" t="n"/>
      <c r="Z35" s="28" t="n"/>
      <c r="AA35" s="28" t="n">
        <v>0.0008</v>
      </c>
      <c r="AB35" s="29" t="n"/>
      <c r="AC35" s="28" t="n"/>
      <c r="AD35" s="28" t="n">
        <v>0.0155</v>
      </c>
      <c r="AE35" s="28" t="n">
        <v>0.8406</v>
      </c>
      <c r="AF35" s="29" t="n">
        <v>8.77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MIA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1026</v>
      </c>
      <c r="D4" s="10">
        <f>$C$4/$B$4</f>
        <v/>
      </c>
      <c r="E4" s="11" t="n">
        <v>0.5627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949</v>
      </c>
      <c r="M4" s="14" t="n">
        <v>55.8235</v>
      </c>
      <c r="N4" s="15" t="n">
        <v>0.5448</v>
      </c>
      <c r="O4" s="13" t="n">
        <v>479</v>
      </c>
      <c r="P4" s="13" t="n">
        <v>432</v>
      </c>
      <c r="Q4" s="16" t="n">
        <v>6.9353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33.7</v>
      </c>
      <c r="C7" s="11" t="n">
        <v>0.3902</v>
      </c>
      <c r="D7" s="10">
        <f>$B$7*$C$7</f>
        <v/>
      </c>
      <c r="E7" s="10">
        <f>$B$7-$D$7</f>
        <v/>
      </c>
      <c r="F7" s="12" t="n">
        <v>3846</v>
      </c>
      <c r="G7" s="12" t="n">
        <v>2019</v>
      </c>
      <c r="H7" s="12">
        <f>$F$7</f>
        <v/>
      </c>
      <c r="L7" s="13" t="n">
        <v>3322</v>
      </c>
      <c r="M7" s="13" t="n">
        <v>2044</v>
      </c>
      <c r="N7" s="14" t="n">
        <v>23</v>
      </c>
      <c r="O7" s="14" t="n">
        <v>14</v>
      </c>
      <c r="P7" s="14" t="n">
        <v>37</v>
      </c>
      <c r="Q7" s="15" t="n">
        <v>0.3783783783783784</v>
      </c>
    </row>
    <row r="8"/>
    <row r="9">
      <c r="A9" s="5" t="inlineStr">
        <is>
          <t>NOTES</t>
        </is>
      </c>
      <c r="B9" s="18" t="inlineStr">
        <is>
          <t>56% of targets and 6% of carries left this roster.  NEW HC Jeff Hafley + OC Bobby Slowik. Defensive HC; run-game focus and balance despite the QB transition. Pace may slow.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Malik Willis</t>
        </is>
      </c>
      <c r="C12" s="22" t="n">
        <v>1</v>
      </c>
      <c r="D12" s="22" t="inlineStr">
        <is>
          <t>27</t>
        </is>
      </c>
      <c r="E12" s="23" t="inlineStr">
        <is>
          <t>ACT</t>
        </is>
      </c>
      <c r="F12" s="24" t="inlineStr">
        <is>
          <t>GB</t>
        </is>
      </c>
      <c r="G12" s="24" t="inlineStr">
        <is>
          <t>4</t>
        </is>
      </c>
      <c r="H12" s="25" t="n">
        <v>0.377</v>
      </c>
      <c r="I12" s="25" t="n">
        <v>0.0716</v>
      </c>
      <c r="J12" s="25" t="n">
        <v>0.798</v>
      </c>
      <c r="K12" s="26" t="n">
        <v>11.1</v>
      </c>
      <c r="L12" s="25" t="n"/>
      <c r="M12" s="25" t="n">
        <v>0.038</v>
      </c>
      <c r="N12" s="26" t="n"/>
      <c r="O12" s="25" t="n">
        <v>0.0449</v>
      </c>
      <c r="P12" s="25" t="n">
        <v>0.1111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0.768</v>
      </c>
      <c r="Y12" s="28" t="n">
        <v>0.798</v>
      </c>
      <c r="Z12" s="28" t="n">
        <v>0.022</v>
      </c>
      <c r="AA12" s="28" t="n">
        <v>0.0699</v>
      </c>
      <c r="AB12" s="29" t="n">
        <v>4.5</v>
      </c>
      <c r="AC12" s="28" t="n">
        <v>0.0752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Kyle McCord</t>
        </is>
      </c>
      <c r="C13" s="35" t="n">
        <v>2</v>
      </c>
      <c r="D13" s="35" t="inlineStr">
        <is>
          <t>23</t>
        </is>
      </c>
      <c r="E13" s="42" t="inlineStr">
        <is>
          <t>ACT</t>
        </is>
      </c>
      <c r="F13" s="24" t="inlineStr"/>
      <c r="G13" s="24" t="inlineStr"/>
      <c r="H13" s="25" t="n"/>
      <c r="I13" s="25" t="n"/>
      <c r="J13" s="25" t="n"/>
      <c r="K13" s="26" t="n"/>
      <c r="L13" s="25" t="n"/>
      <c r="M13" s="25" t="n"/>
      <c r="N13" s="26" t="n"/>
      <c r="O13" s="25" t="n"/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0.1151</v>
      </c>
      <c r="Y13" s="28" t="n">
        <v>0.65</v>
      </c>
      <c r="Z13" s="28" t="n">
        <v>0.022</v>
      </c>
      <c r="AA13" s="28" t="n">
        <v>0.0156</v>
      </c>
      <c r="AB13" s="29" t="n">
        <v>4.5</v>
      </c>
      <c r="AC13" s="28" t="n"/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Cam Miller</t>
        </is>
      </c>
      <c r="C14" s="22" t="n">
        <v>3</v>
      </c>
      <c r="D14" s="22" t="inlineStr">
        <is>
          <t>25</t>
        </is>
      </c>
      <c r="E14" s="23" t="inlineStr">
        <is>
          <t>ACT</t>
        </is>
      </c>
      <c r="F14" s="24" t="inlineStr"/>
      <c r="G14" s="24" t="inlineStr"/>
      <c r="H14" s="25" t="n"/>
      <c r="I14" s="25" t="n"/>
      <c r="J14" s="25" t="n"/>
      <c r="K14" s="26" t="n"/>
      <c r="L14" s="25" t="n"/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0.0506</v>
      </c>
      <c r="Y14" s="28" t="n">
        <v>0.65</v>
      </c>
      <c r="Z14" s="28" t="n">
        <v>0.022</v>
      </c>
      <c r="AA14" s="28" t="n">
        <v>0.0062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De'Von Achane</t>
        </is>
      </c>
      <c r="C16" s="22" t="n">
        <v>1</v>
      </c>
      <c r="D16" s="22" t="inlineStr">
        <is>
          <t>24</t>
        </is>
      </c>
      <c r="E16" s="23" t="inlineStr">
        <is>
          <t>ACT</t>
        </is>
      </c>
      <c r="F16" s="24" t="inlineStr">
        <is>
          <t>MIA</t>
        </is>
      </c>
      <c r="G16" s="24" t="inlineStr">
        <is>
          <t>16</t>
        </is>
      </c>
      <c r="H16" s="25" t="n">
        <v>0.65</v>
      </c>
      <c r="I16" s="25" t="n"/>
      <c r="J16" s="25" t="n"/>
      <c r="K16" s="26" t="n"/>
      <c r="L16" s="25" t="n"/>
      <c r="M16" s="25" t="n">
        <v>0.5613</v>
      </c>
      <c r="N16" s="26" t="n">
        <v>5.57</v>
      </c>
      <c r="O16" s="25" t="n">
        <v>0.4394</v>
      </c>
      <c r="P16" s="25" t="n">
        <v>0.5714</v>
      </c>
      <c r="Q16" s="25" t="n">
        <v>0.1532</v>
      </c>
      <c r="R16" s="25" t="n">
        <v>0.184</v>
      </c>
      <c r="S16" s="25" t="n">
        <v>0.8159999999999999</v>
      </c>
      <c r="T16" s="26" t="n">
        <v>7.39</v>
      </c>
      <c r="U16" s="25" t="n">
        <v>0.15</v>
      </c>
      <c r="V16" s="25" t="n">
        <v>0.1739</v>
      </c>
      <c r="W16" s="27" t="n">
        <v>17</v>
      </c>
      <c r="X16" s="28" t="n"/>
      <c r="Y16" s="28" t="n"/>
      <c r="Z16" s="28" t="n"/>
      <c r="AA16" s="28" t="n">
        <v>0.4932</v>
      </c>
      <c r="AB16" s="29" t="n">
        <v>5.62</v>
      </c>
      <c r="AC16" s="28" t="n">
        <v>0.4995</v>
      </c>
      <c r="AD16" s="28" t="n">
        <v>0.1726</v>
      </c>
      <c r="AE16" s="28" t="n">
        <v>0.8159</v>
      </c>
      <c r="AF16" s="29" t="n">
        <v>7.42</v>
      </c>
      <c r="AG16" s="28" t="n">
        <v>0.29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Jaylen Wright</t>
        </is>
      </c>
      <c r="C17" s="35" t="n">
        <v>2</v>
      </c>
      <c r="D17" s="35" t="inlineStr">
        <is>
          <t>23</t>
        </is>
      </c>
      <c r="E17" s="42" t="inlineStr">
        <is>
          <t>ACT</t>
        </is>
      </c>
      <c r="F17" s="24" t="inlineStr">
        <is>
          <t>MIA</t>
        </is>
      </c>
      <c r="G17" s="24" t="inlineStr">
        <is>
          <t>10</t>
        </is>
      </c>
      <c r="H17" s="25" t="n">
        <v>0.198</v>
      </c>
      <c r="I17" s="25" t="n"/>
      <c r="J17" s="25" t="n"/>
      <c r="K17" s="26" t="n"/>
      <c r="L17" s="25" t="n"/>
      <c r="M17" s="25" t="n">
        <v>0.1651</v>
      </c>
      <c r="N17" s="26" t="n">
        <v>3.9</v>
      </c>
      <c r="O17" s="25" t="n">
        <v>0.1818</v>
      </c>
      <c r="P17" s="25" t="n">
        <v>0.1429</v>
      </c>
      <c r="Q17" s="25" t="n">
        <v>0.0106</v>
      </c>
      <c r="R17" s="25" t="n">
        <v>0.0195</v>
      </c>
      <c r="S17" s="25" t="n"/>
      <c r="T17" s="26" t="n"/>
      <c r="U17" s="25" t="n"/>
      <c r="V17" s="25" t="n"/>
      <c r="W17" s="27" t="n">
        <v>17</v>
      </c>
      <c r="X17" s="28" t="n"/>
      <c r="Y17" s="28" t="n"/>
      <c r="Z17" s="28" t="n"/>
      <c r="AA17" s="28" t="n">
        <v>0.1804</v>
      </c>
      <c r="AB17" s="29" t="n">
        <v>3.89</v>
      </c>
      <c r="AC17" s="28" t="n">
        <v>0.1405</v>
      </c>
      <c r="AD17" s="28" t="n">
        <v>0.0322</v>
      </c>
      <c r="AE17" s="28" t="n">
        <v>0.5292</v>
      </c>
      <c r="AF17" s="29" t="n">
        <v>6.5</v>
      </c>
      <c r="AG17" s="28" t="n"/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Ollie Gordon</t>
        </is>
      </c>
      <c r="C18" s="22" t="n">
        <v>3</v>
      </c>
      <c r="D18" s="22" t="inlineStr">
        <is>
          <t>22</t>
        </is>
      </c>
      <c r="E18" s="41" t="inlineStr">
        <is>
          <t>QUESTIONABLE</t>
        </is>
      </c>
      <c r="F18" s="24" t="inlineStr">
        <is>
          <t>MIA</t>
        </is>
      </c>
      <c r="G18" s="24" t="inlineStr">
        <is>
          <t>17</t>
        </is>
      </c>
      <c r="H18" s="25" t="n">
        <v>0.224</v>
      </c>
      <c r="I18" s="25" t="n"/>
      <c r="J18" s="25" t="n"/>
      <c r="K18" s="26" t="n"/>
      <c r="L18" s="25" t="n"/>
      <c r="M18" s="25" t="n">
        <v>0.1651</v>
      </c>
      <c r="N18" s="26" t="n">
        <v>2.84</v>
      </c>
      <c r="O18" s="25" t="n">
        <v>0.2727</v>
      </c>
      <c r="P18" s="25" t="n">
        <v>0.2143</v>
      </c>
      <c r="Q18" s="25" t="n"/>
      <c r="R18" s="25" t="n">
        <v>0.0195</v>
      </c>
      <c r="S18" s="25" t="n"/>
      <c r="T18" s="26" t="n"/>
      <c r="U18" s="25" t="n">
        <v>0.0167</v>
      </c>
      <c r="V18" s="25" t="n">
        <v>0.0435</v>
      </c>
      <c r="W18" s="27" t="n">
        <v>17</v>
      </c>
      <c r="X18" s="28" t="n"/>
      <c r="Y18" s="28" t="n"/>
      <c r="Z18" s="28" t="n"/>
      <c r="AA18" s="28" t="n">
        <v>0.1285</v>
      </c>
      <c r="AB18" s="29" t="n">
        <v>2.84</v>
      </c>
      <c r="AC18" s="28" t="n">
        <v>0.2107</v>
      </c>
      <c r="AD18" s="28" t="n">
        <v>0.0255</v>
      </c>
      <c r="AE18" s="28" t="n">
        <v>0.7778</v>
      </c>
      <c r="AF18" s="29" t="n">
        <v>4.57</v>
      </c>
      <c r="AG18" s="28" t="n">
        <v>0.0643</v>
      </c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Carlos Washington</t>
        </is>
      </c>
      <c r="C19" s="35" t="n">
        <v>4</v>
      </c>
      <c r="D19" s="35" t="inlineStr">
        <is>
          <t>27</t>
        </is>
      </c>
      <c r="E19" s="42" t="inlineStr">
        <is>
          <t>ACT</t>
        </is>
      </c>
      <c r="F19" s="24" t="inlineStr"/>
      <c r="G19" s="24" t="inlineStr"/>
      <c r="H19" s="25" t="n"/>
      <c r="I19" s="25" t="n"/>
      <c r="J19" s="25" t="n"/>
      <c r="K19" s="26" t="n"/>
      <c r="L19" s="25" t="n"/>
      <c r="M19" s="25" t="n"/>
      <c r="N19" s="26" t="n"/>
      <c r="O19" s="25" t="n"/>
      <c r="P19" s="25" t="n"/>
      <c r="Q19" s="25" t="n"/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0.0266</v>
      </c>
      <c r="AB19" s="29" t="n">
        <v>4.13</v>
      </c>
      <c r="AC19" s="28" t="n"/>
      <c r="AD19" s="28" t="n">
        <v>0.0172</v>
      </c>
      <c r="AE19" s="28" t="n">
        <v>0.75</v>
      </c>
      <c r="AF19" s="29" t="n">
        <v>7.13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Jarquez Hunter</t>
        </is>
      </c>
      <c r="C20" s="22" t="n">
        <v>5</v>
      </c>
      <c r="D20" s="22" t="inlineStr">
        <is>
          <t>23</t>
        </is>
      </c>
      <c r="E20" s="23" t="inlineStr">
        <is>
          <t>ACT</t>
        </is>
      </c>
      <c r="F20" s="24" t="inlineStr"/>
      <c r="G20" s="24" t="inlineStr"/>
      <c r="H20" s="25" t="n"/>
      <c r="I20" s="25" t="n"/>
      <c r="J20" s="25" t="n"/>
      <c r="K20" s="26" t="n"/>
      <c r="L20" s="25" t="n"/>
      <c r="M20" s="25" t="n"/>
      <c r="N20" s="26" t="n"/>
      <c r="O20" s="25" t="n"/>
      <c r="P20" s="25" t="n"/>
      <c r="Q20" s="25" t="n"/>
      <c r="R20" s="25" t="n"/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0.0223</v>
      </c>
      <c r="AB20" s="29" t="n">
        <v>4.13</v>
      </c>
      <c r="AC20" s="28" t="n"/>
      <c r="AD20" s="28" t="n">
        <v>0.0123</v>
      </c>
      <c r="AE20" s="28" t="n">
        <v>0.75</v>
      </c>
      <c r="AF20" s="29" t="n">
        <v>7.13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Malik Washington</t>
        </is>
      </c>
      <c r="C23" s="35" t="n">
        <v>1</v>
      </c>
      <c r="D23" s="35" t="inlineStr">
        <is>
          <t>25</t>
        </is>
      </c>
      <c r="E23" s="42" t="inlineStr">
        <is>
          <t>ACT</t>
        </is>
      </c>
      <c r="F23" s="24" t="inlineStr">
        <is>
          <t>MIA</t>
        </is>
      </c>
      <c r="G23" s="24" t="inlineStr">
        <is>
          <t>17</t>
        </is>
      </c>
      <c r="H23" s="25" t="n">
        <v>0.524</v>
      </c>
      <c r="I23" s="25" t="n"/>
      <c r="J23" s="25" t="n"/>
      <c r="K23" s="26" t="n"/>
      <c r="L23" s="25" t="n"/>
      <c r="M23" s="25" t="n">
        <v>0.0401</v>
      </c>
      <c r="N23" s="26" t="n"/>
      <c r="O23" s="25" t="n">
        <v>0.0455</v>
      </c>
      <c r="P23" s="25" t="n">
        <v>0.07140000000000001</v>
      </c>
      <c r="Q23" s="25" t="n">
        <v>0.0634</v>
      </c>
      <c r="R23" s="25" t="n">
        <v>0.1407</v>
      </c>
      <c r="S23" s="25" t="n">
        <v>0.712</v>
      </c>
      <c r="T23" s="26" t="n">
        <v>7.45</v>
      </c>
      <c r="U23" s="25" t="n">
        <v>0.1833</v>
      </c>
      <c r="V23" s="25" t="n">
        <v>0.1304</v>
      </c>
      <c r="W23" s="27" t="n">
        <v>17</v>
      </c>
      <c r="X23" s="28" t="n"/>
      <c r="Y23" s="28" t="n"/>
      <c r="Z23" s="28" t="n"/>
      <c r="AA23" s="28" t="n">
        <v>0.0167</v>
      </c>
      <c r="AB23" s="29" t="n">
        <v>6.14</v>
      </c>
      <c r="AC23" s="28" t="n">
        <v>0.0741</v>
      </c>
      <c r="AD23" s="28" t="n">
        <v>0.1591</v>
      </c>
      <c r="AE23" s="28" t="n">
        <v>0.7125</v>
      </c>
      <c r="AF23" s="29" t="n">
        <v>7.5</v>
      </c>
      <c r="AG23" s="28" t="n">
        <v>0.1927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Caleb Douglas</t>
        </is>
      </c>
      <c r="C24" s="22" t="n">
        <v>2</v>
      </c>
      <c r="D24" s="22" t="inlineStr">
        <is>
          <t>22</t>
        </is>
      </c>
      <c r="E24" s="23" t="inlineStr">
        <is>
          <t>ACT</t>
        </is>
      </c>
      <c r="F24" s="24" t="inlineStr"/>
      <c r="G24" s="24" t="inlineStr"/>
      <c r="H24" s="25" t="n"/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/>
      <c r="R24" s="25" t="n"/>
      <c r="S24" s="25" t="n"/>
      <c r="T24" s="26" t="n"/>
      <c r="U24" s="25" t="n"/>
      <c r="V24" s="25" t="n"/>
      <c r="W24" s="27" t="n">
        <v>17</v>
      </c>
      <c r="X24" s="28" t="n"/>
      <c r="Y24" s="28" t="n"/>
      <c r="Z24" s="28" t="n"/>
      <c r="AA24" s="28" t="n">
        <v>0.0059</v>
      </c>
      <c r="AB24" s="29" t="n"/>
      <c r="AC24" s="28" t="n"/>
      <c r="AD24" s="28" t="n">
        <v>0.0977</v>
      </c>
      <c r="AE24" s="28" t="n">
        <v>0.65</v>
      </c>
      <c r="AF24" s="29" t="n">
        <v>12.84</v>
      </c>
      <c r="AG24" s="28" t="n"/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Chris Bell</t>
        </is>
      </c>
      <c r="C25" s="35" t="n">
        <v>3</v>
      </c>
      <c r="D25" s="35" t="inlineStr">
        <is>
          <t>22</t>
        </is>
      </c>
      <c r="E25" s="42" t="inlineStr">
        <is>
          <t>ACT</t>
        </is>
      </c>
      <c r="F25" s="24" t="inlineStr"/>
      <c r="G25" s="24" t="inlineStr"/>
      <c r="H25" s="25" t="n"/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/>
      <c r="R25" s="25" t="n"/>
      <c r="S25" s="25" t="n"/>
      <c r="T25" s="26" t="n"/>
      <c r="U25" s="25" t="n"/>
      <c r="V25" s="25" t="n"/>
      <c r="W25" s="27" t="n">
        <v>17</v>
      </c>
      <c r="X25" s="28" t="n"/>
      <c r="Y25" s="28" t="n"/>
      <c r="Z25" s="28" t="n"/>
      <c r="AA25" s="28" t="n">
        <v>0.0021</v>
      </c>
      <c r="AB25" s="29" t="n"/>
      <c r="AC25" s="28" t="n"/>
      <c r="AD25" s="28" t="n">
        <v>0.0157</v>
      </c>
      <c r="AE25" s="28" t="n">
        <v>0.65</v>
      </c>
      <c r="AF25" s="29" t="n">
        <v>12.84</v>
      </c>
      <c r="AG25" s="28" t="n"/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Jalen Tolbert</t>
        </is>
      </c>
      <c r="C26" s="22" t="n">
        <v>4</v>
      </c>
      <c r="D26" s="22" t="inlineStr">
        <is>
          <t>27</t>
        </is>
      </c>
      <c r="E26" s="23" t="inlineStr">
        <is>
          <t>ACT</t>
        </is>
      </c>
      <c r="F26" s="24" t="inlineStr">
        <is>
          <t>DAL</t>
        </is>
      </c>
      <c r="G26" s="24" t="inlineStr">
        <is>
          <t>13</t>
        </is>
      </c>
      <c r="H26" s="25" t="n">
        <v>0.5639999999999999</v>
      </c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>
        <v>0.127</v>
      </c>
      <c r="R26" s="25" t="n">
        <v>0.056</v>
      </c>
      <c r="S26" s="25" t="n">
        <v>0.579</v>
      </c>
      <c r="T26" s="26" t="n">
        <v>11.88</v>
      </c>
      <c r="U26" s="25" t="n">
        <v>0.0408</v>
      </c>
      <c r="V26" s="25" t="n">
        <v>0.0323</v>
      </c>
      <c r="W26" s="27" t="n">
        <v>17</v>
      </c>
      <c r="X26" s="28" t="n"/>
      <c r="Y26" s="28" t="n"/>
      <c r="Z26" s="28" t="n"/>
      <c r="AA26" s="28" t="n">
        <v>0.0023</v>
      </c>
      <c r="AB26" s="29" t="n"/>
      <c r="AC26" s="28" t="n"/>
      <c r="AD26" s="28" t="n">
        <v>0.0576</v>
      </c>
      <c r="AE26" s="28" t="n">
        <v>0.5788</v>
      </c>
      <c r="AF26" s="29" t="n">
        <v>12.15</v>
      </c>
      <c r="AG26" s="28" t="n">
        <v>0.1921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Kevin Coleman</t>
        </is>
      </c>
      <c r="C27" s="35" t="n">
        <v>5</v>
      </c>
      <c r="D27" s="35" t="inlineStr">
        <is>
          <t>22</t>
        </is>
      </c>
      <c r="E27" s="42" t="inlineStr">
        <is>
          <t>ACT</t>
        </is>
      </c>
      <c r="F27" s="24" t="inlineStr"/>
      <c r="G27" s="24" t="inlineStr"/>
      <c r="H27" s="25" t="n"/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/>
      <c r="R27" s="25" t="n"/>
      <c r="S27" s="25" t="n"/>
      <c r="T27" s="26" t="n"/>
      <c r="U27" s="25" t="n"/>
      <c r="V27" s="25" t="n"/>
      <c r="W27" s="27" t="n">
        <v>17</v>
      </c>
      <c r="X27" s="28" t="n"/>
      <c r="Y27" s="28" t="n"/>
      <c r="Z27" s="28" t="n"/>
      <c r="AA27" s="28" t="n">
        <v>0.0021</v>
      </c>
      <c r="AB27" s="29" t="n"/>
      <c r="AC27" s="28" t="n"/>
      <c r="AD27" s="28" t="n">
        <v>0.0071</v>
      </c>
      <c r="AE27" s="28" t="n">
        <v>0.65</v>
      </c>
      <c r="AF27" s="29" t="n">
        <v>12.84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Ryan Miller</t>
        </is>
      </c>
      <c r="C28" s="22" t="n">
        <v>6</v>
      </c>
      <c r="D28" s="22" t="inlineStr">
        <is>
          <t>26</t>
        </is>
      </c>
      <c r="E28" s="23" t="inlineStr">
        <is>
          <t>ACT</t>
        </is>
      </c>
      <c r="F28" s="24" t="inlineStr">
        <is>
          <t>TB</t>
        </is>
      </c>
      <c r="G28" s="24" t="inlineStr">
        <is>
          <t>13</t>
        </is>
      </c>
      <c r="H28" s="25" t="n">
        <v>0.199</v>
      </c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>
        <v>0.0355</v>
      </c>
      <c r="R28" s="25" t="n">
        <v>0.0074</v>
      </c>
      <c r="S28" s="25" t="n">
        <v>0.6</v>
      </c>
      <c r="T28" s="26" t="n">
        <v>10.67</v>
      </c>
      <c r="U28" s="25" t="n"/>
      <c r="V28" s="25" t="n">
        <v>0.0385</v>
      </c>
      <c r="W28" s="27" t="n">
        <v>17</v>
      </c>
      <c r="X28" s="28" t="n"/>
      <c r="Y28" s="28" t="n"/>
      <c r="Z28" s="28" t="n"/>
      <c r="AA28" s="28" t="n">
        <v>0.0021</v>
      </c>
      <c r="AB28" s="29" t="n"/>
      <c r="AC28" s="28" t="n"/>
      <c r="AD28" s="28" t="n">
        <v>0.0143</v>
      </c>
      <c r="AE28" s="28" t="n">
        <v>0.5337</v>
      </c>
      <c r="AF28" s="29" t="n">
        <v>10.67</v>
      </c>
      <c r="AG28" s="28" t="n">
        <v>0.0679</v>
      </c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Jalen Reagor</t>
        </is>
      </c>
      <c r="C29" s="35" t="n">
        <v>7</v>
      </c>
      <c r="D29" s="35" t="inlineStr">
        <is>
          <t>27</t>
        </is>
      </c>
      <c r="E29" s="42" t="inlineStr">
        <is>
          <t>ACT</t>
        </is>
      </c>
      <c r="F29" s="24" t="inlineStr"/>
      <c r="G29" s="24" t="inlineStr"/>
      <c r="H29" s="25" t="n">
        <v>0.364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>
        <v>0.0244</v>
      </c>
      <c r="R29" s="25" t="n"/>
      <c r="S29" s="25" t="n">
        <v>0.304</v>
      </c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0.0037</v>
      </c>
      <c r="AB29" s="29" t="n">
        <v>3.5</v>
      </c>
      <c r="AC29" s="28" t="n"/>
      <c r="AD29" s="28" t="n">
        <v>0.035</v>
      </c>
      <c r="AE29" s="28" t="n">
        <v>0.4499</v>
      </c>
      <c r="AF29" s="29" t="n">
        <v>17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AJ Henning</t>
        </is>
      </c>
      <c r="C30" s="22" t="n">
        <v>8</v>
      </c>
      <c r="D30" s="22" t="inlineStr">
        <is>
          <t>24</t>
        </is>
      </c>
      <c r="E30" s="23" t="inlineStr">
        <is>
          <t>ACT</t>
        </is>
      </c>
      <c r="F30" s="24" t="inlineStr"/>
      <c r="G30" s="24" t="inlineStr"/>
      <c r="H30" s="25" t="n"/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/>
      <c r="R30" s="25" t="n"/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0.0021</v>
      </c>
      <c r="AB30" s="29" t="n"/>
      <c r="AC30" s="28" t="n"/>
      <c r="AD30" s="28" t="n">
        <v>0.0065</v>
      </c>
      <c r="AE30" s="28" t="n">
        <v>0.65</v>
      </c>
      <c r="AF30" s="29" t="n">
        <v>12.84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Greg Dulcich</t>
        </is>
      </c>
      <c r="C32" s="22" t="n">
        <v>1</v>
      </c>
      <c r="D32" s="22" t="inlineStr">
        <is>
          <t>26</t>
        </is>
      </c>
      <c r="E32" s="23" t="inlineStr">
        <is>
          <t>ACT</t>
        </is>
      </c>
      <c r="F32" s="24" t="inlineStr">
        <is>
          <t>MIA</t>
        </is>
      </c>
      <c r="G32" s="24" t="inlineStr">
        <is>
          <t>10</t>
        </is>
      </c>
      <c r="H32" s="25" t="n">
        <v>0.342</v>
      </c>
      <c r="I32" s="25" t="n"/>
      <c r="J32" s="25" t="n"/>
      <c r="K32" s="26" t="n"/>
      <c r="L32" s="25" t="n"/>
      <c r="M32" s="25" t="n">
        <v>0.0024</v>
      </c>
      <c r="N32" s="26" t="n"/>
      <c r="O32" s="25" t="n">
        <v>0.0152</v>
      </c>
      <c r="P32" s="25" t="n"/>
      <c r="Q32" s="25" t="n">
        <v>0.0219</v>
      </c>
      <c r="R32" s="25" t="n">
        <v>0.07140000000000001</v>
      </c>
      <c r="S32" s="25" t="n">
        <v>0.788</v>
      </c>
      <c r="T32" s="26" t="n">
        <v>12.88</v>
      </c>
      <c r="U32" s="25" t="n">
        <v>0.0833</v>
      </c>
      <c r="V32" s="25" t="n">
        <v>0.0435</v>
      </c>
      <c r="W32" s="27" t="n">
        <v>17</v>
      </c>
      <c r="X32" s="28" t="n"/>
      <c r="Y32" s="28" t="n"/>
      <c r="Z32" s="28" t="n"/>
      <c r="AA32" s="28" t="n">
        <v>0.0027</v>
      </c>
      <c r="AB32" s="29" t="n"/>
      <c r="AC32" s="28" t="n"/>
      <c r="AD32" s="28" t="n">
        <v>0.108</v>
      </c>
      <c r="AE32" s="28" t="n">
        <v>0.7181</v>
      </c>
      <c r="AF32" s="29" t="n">
        <v>11.41</v>
      </c>
      <c r="AG32" s="28" t="n">
        <v>0.0643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Will Kacmarek</t>
        </is>
      </c>
      <c r="C33" s="35" t="n">
        <v>2</v>
      </c>
      <c r="D33" s="35" t="inlineStr">
        <is>
          <t>23</t>
        </is>
      </c>
      <c r="E33" s="36" t="inlineStr">
        <is>
          <t>QUESTIONABLE</t>
        </is>
      </c>
      <c r="F33" s="24" t="inlineStr"/>
      <c r="G33" s="24" t="inlineStr"/>
      <c r="H33" s="25" t="n"/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/>
      <c r="R33" s="25" t="n"/>
      <c r="S33" s="25" t="n"/>
      <c r="T33" s="26" t="n"/>
      <c r="U33" s="25" t="n"/>
      <c r="V33" s="25" t="n"/>
      <c r="W33" s="27" t="n">
        <v>17</v>
      </c>
      <c r="X33" s="28" t="n"/>
      <c r="Y33" s="28" t="n"/>
      <c r="Z33" s="28" t="n"/>
      <c r="AA33" s="28" t="n">
        <v>0.0023</v>
      </c>
      <c r="AB33" s="29" t="n"/>
      <c r="AC33" s="28" t="n"/>
      <c r="AD33" s="28" t="n">
        <v>0.054</v>
      </c>
      <c r="AE33" s="28" t="n">
        <v>0.65</v>
      </c>
      <c r="AF33" s="29" t="n">
        <v>10.32</v>
      </c>
      <c r="AG33" s="28" t="n"/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Ben Sims</t>
        </is>
      </c>
      <c r="C34" s="22" t="n">
        <v>3</v>
      </c>
      <c r="D34" s="22" t="inlineStr">
        <is>
          <t>26</t>
        </is>
      </c>
      <c r="E34" s="41" t="inlineStr">
        <is>
          <t>QUESTIONABLE</t>
        </is>
      </c>
      <c r="F34" s="24" t="inlineStr">
        <is>
          <t>MIN</t>
        </is>
      </c>
      <c r="G34" s="24" t="inlineStr">
        <is>
          <t>8</t>
        </is>
      </c>
      <c r="H34" s="25" t="n">
        <v>0.177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0.0108</v>
      </c>
      <c r="R34" s="25" t="n">
        <v>0.0128</v>
      </c>
      <c r="S34" s="25" t="n"/>
      <c r="T34" s="26" t="n"/>
      <c r="U34" s="25" t="n">
        <v>0.0141</v>
      </c>
      <c r="V34" s="25" t="n"/>
      <c r="W34" s="27" t="n">
        <v>17</v>
      </c>
      <c r="X34" s="28" t="n"/>
      <c r="Y34" s="28" t="n"/>
      <c r="Z34" s="28" t="n"/>
      <c r="AA34" s="28" t="n">
        <v>0.0023</v>
      </c>
      <c r="AB34" s="29" t="n"/>
      <c r="AC34" s="28" t="n"/>
      <c r="AD34" s="28" t="n">
        <v>0.0338</v>
      </c>
      <c r="AE34" s="28" t="n">
        <v>0.6677</v>
      </c>
      <c r="AF34" s="29" t="n">
        <v>8.449999999999999</v>
      </c>
      <c r="AG34" s="28" t="n">
        <v>0.0461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Seydou Traore</t>
        </is>
      </c>
      <c r="C35" s="35" t="n">
        <v>4</v>
      </c>
      <c r="D35" s="35" t="inlineStr">
        <is>
          <t>24</t>
        </is>
      </c>
      <c r="E35" s="42" t="inlineStr">
        <is>
          <t>ACT</t>
        </is>
      </c>
      <c r="F35" s="24" t="inlineStr"/>
      <c r="G35" s="24" t="inlineStr"/>
      <c r="H35" s="25" t="n"/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0.0023</v>
      </c>
      <c r="AB35" s="29" t="n"/>
      <c r="AC35" s="28" t="n"/>
      <c r="AD35" s="28" t="n">
        <v>0.0148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MIN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1025</v>
      </c>
      <c r="D4" s="10">
        <f>$C$4/$B$4</f>
        <v/>
      </c>
      <c r="E4" s="11" t="n">
        <v>0.5769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954</v>
      </c>
      <c r="M4" s="14" t="n">
        <v>56.1176</v>
      </c>
      <c r="N4" s="15" t="n">
        <v>0.5702</v>
      </c>
      <c r="O4" s="13" t="n">
        <v>484</v>
      </c>
      <c r="P4" s="13" t="n">
        <v>410</v>
      </c>
      <c r="Q4" s="16" t="n">
        <v>6.6281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39.8</v>
      </c>
      <c r="C7" s="11" t="n">
        <v>0.3421</v>
      </c>
      <c r="D7" s="10">
        <f>$B$7*$C$7</f>
        <v/>
      </c>
      <c r="E7" s="10">
        <f>$B$7-$D$7</f>
        <v/>
      </c>
      <c r="F7" s="12" t="n">
        <v>3870</v>
      </c>
      <c r="G7" s="12" t="n">
        <v>1855</v>
      </c>
      <c r="H7" s="12">
        <f>$F$7</f>
        <v/>
      </c>
      <c r="L7" s="13" t="n">
        <v>3208</v>
      </c>
      <c r="M7" s="13" t="n">
        <v>1841</v>
      </c>
      <c r="N7" s="14" t="n">
        <v>18</v>
      </c>
      <c r="O7" s="14" t="n">
        <v>15</v>
      </c>
      <c r="P7" s="14" t="n">
        <v>33</v>
      </c>
      <c r="Q7" s="15" t="n">
        <v>0.4545454545454545</v>
      </c>
    </row>
    <row r="8"/>
    <row r="9">
      <c r="A9" s="5" t="inlineStr">
        <is>
          <t>NOTES</t>
        </is>
      </c>
      <c r="B9" s="18" t="inlineStr">
        <is>
          <t>14% of targets and 6% of carries left this roster.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Kyler Murray</t>
        </is>
      </c>
      <c r="C12" s="22" t="n">
        <v>1</v>
      </c>
      <c r="D12" s="22" t="inlineStr">
        <is>
          <t>29</t>
        </is>
      </c>
      <c r="E12" s="23" t="inlineStr">
        <is>
          <t>ACT</t>
        </is>
      </c>
      <c r="F12" s="24" t="inlineStr">
        <is>
          <t>ARI</t>
        </is>
      </c>
      <c r="G12" s="24" t="inlineStr">
        <is>
          <t>5</t>
        </is>
      </c>
      <c r="H12" s="25" t="n">
        <v>0.983</v>
      </c>
      <c r="I12" s="25" t="n">
        <v>0.2481</v>
      </c>
      <c r="J12" s="25" t="n">
        <v>0.681</v>
      </c>
      <c r="K12" s="26" t="n">
        <v>6.74</v>
      </c>
      <c r="L12" s="25" t="n">
        <v>0.02</v>
      </c>
      <c r="M12" s="25" t="n">
        <v>0.0771</v>
      </c>
      <c r="N12" s="26" t="n">
        <v>7.21</v>
      </c>
      <c r="O12" s="25" t="n">
        <v>0.0625</v>
      </c>
      <c r="P12" s="25" t="n">
        <v>0.1111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0.5034999999999999</v>
      </c>
      <c r="Y12" s="28" t="n">
        <v>0.681</v>
      </c>
      <c r="Z12" s="28" t="n">
        <v>0.02</v>
      </c>
      <c r="AA12" s="28" t="n">
        <v>0.08019999999999999</v>
      </c>
      <c r="AB12" s="29" t="n">
        <v>4.5</v>
      </c>
      <c r="AC12" s="28" t="n">
        <v>0.1778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J.J. McCarthy</t>
        </is>
      </c>
      <c r="C13" s="35" t="n">
        <v>2</v>
      </c>
      <c r="D13" s="35" t="inlineStr">
        <is>
          <t>23</t>
        </is>
      </c>
      <c r="E13" s="36" t="inlineStr">
        <is>
          <t>QUESTIONABLE</t>
        </is>
      </c>
      <c r="F13" s="24" t="inlineStr">
        <is>
          <t>MIN</t>
        </is>
      </c>
      <c r="G13" s="24" t="inlineStr">
        <is>
          <t>10</t>
        </is>
      </c>
      <c r="H13" s="25" t="n">
        <v>0.916</v>
      </c>
      <c r="I13" s="25" t="n">
        <v>0.5021</v>
      </c>
      <c r="J13" s="25" t="n">
        <v>0.576</v>
      </c>
      <c r="K13" s="26" t="n">
        <v>6.72</v>
      </c>
      <c r="L13" s="25" t="n">
        <v>0.049</v>
      </c>
      <c r="M13" s="25" t="n">
        <v>0.0707</v>
      </c>
      <c r="N13" s="26" t="n">
        <v>6.46</v>
      </c>
      <c r="O13" s="25" t="n">
        <v>0.1091</v>
      </c>
      <c r="P13" s="25" t="n">
        <v>0.2667</v>
      </c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0.3278</v>
      </c>
      <c r="Y13" s="28" t="n">
        <v>0.576</v>
      </c>
      <c r="Z13" s="28" t="n">
        <v>0.049</v>
      </c>
      <c r="AA13" s="28" t="n">
        <v>0.0385</v>
      </c>
      <c r="AB13" s="29" t="n">
        <v>6.46</v>
      </c>
      <c r="AC13" s="28" t="n">
        <v>0.2207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Carson Wentz</t>
        </is>
      </c>
      <c r="C14" s="22" t="n">
        <v>3</v>
      </c>
      <c r="D14" s="22" t="inlineStr">
        <is>
          <t>33</t>
        </is>
      </c>
      <c r="E14" s="23" t="inlineStr">
        <is>
          <t>ACT</t>
        </is>
      </c>
      <c r="F14" s="24" t="inlineStr">
        <is>
          <t>MIN</t>
        </is>
      </c>
      <c r="G14" s="24" t="inlineStr">
        <is>
          <t>5</t>
        </is>
      </c>
      <c r="H14" s="25" t="n">
        <v>0.667</v>
      </c>
      <c r="I14" s="25" t="n">
        <v>0.3492</v>
      </c>
      <c r="J14" s="25" t="n">
        <v>0.659</v>
      </c>
      <c r="K14" s="26" t="n">
        <v>7.14</v>
      </c>
      <c r="L14" s="25" t="n">
        <v>0.031</v>
      </c>
      <c r="M14" s="25" t="n">
        <v>0.0278</v>
      </c>
      <c r="N14" s="26" t="n"/>
      <c r="O14" s="25" t="n">
        <v>0.0364</v>
      </c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0.1595</v>
      </c>
      <c r="Y14" s="28" t="n">
        <v>0.659</v>
      </c>
      <c r="Z14" s="28" t="n">
        <v>0.031</v>
      </c>
      <c r="AA14" s="28" t="n">
        <v>0.0158</v>
      </c>
      <c r="AB14" s="29" t="n">
        <v>4.5</v>
      </c>
      <c r="AC14" s="28" t="n">
        <v>0.046</v>
      </c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Jordan Mason</t>
        </is>
      </c>
      <c r="C16" s="22" t="n">
        <v>1</v>
      </c>
      <c r="D16" s="22" t="inlineStr">
        <is>
          <t>27</t>
        </is>
      </c>
      <c r="E16" s="23" t="inlineStr">
        <is>
          <t>ACT</t>
        </is>
      </c>
      <c r="F16" s="24" t="inlineStr">
        <is>
          <t>MIN</t>
        </is>
      </c>
      <c r="G16" s="24" t="inlineStr">
        <is>
          <t>16</t>
        </is>
      </c>
      <c r="H16" s="25" t="n">
        <v>0.389</v>
      </c>
      <c r="I16" s="25" t="n"/>
      <c r="J16" s="25" t="n"/>
      <c r="K16" s="26" t="n"/>
      <c r="L16" s="25" t="n"/>
      <c r="M16" s="25" t="n">
        <v>0.4015</v>
      </c>
      <c r="N16" s="26" t="n">
        <v>4.95</v>
      </c>
      <c r="O16" s="25" t="n">
        <v>0.4727</v>
      </c>
      <c r="P16" s="25" t="n">
        <v>0.4</v>
      </c>
      <c r="Q16" s="25" t="n">
        <v>0.0273</v>
      </c>
      <c r="R16" s="25" t="n">
        <v>0.0342</v>
      </c>
      <c r="S16" s="25" t="n">
        <v>0.875</v>
      </c>
      <c r="T16" s="26" t="n">
        <v>3.64</v>
      </c>
      <c r="U16" s="25" t="n">
        <v>0.0141</v>
      </c>
      <c r="V16" s="25" t="n"/>
      <c r="W16" s="27" t="n">
        <v>17</v>
      </c>
      <c r="X16" s="28" t="n"/>
      <c r="Y16" s="28" t="n"/>
      <c r="Z16" s="28" t="n"/>
      <c r="AA16" s="28" t="n">
        <v>0.2459</v>
      </c>
      <c r="AB16" s="29" t="n">
        <v>4.98</v>
      </c>
      <c r="AC16" s="28" t="n">
        <v>0.2324</v>
      </c>
      <c r="AD16" s="28" t="n">
        <v>0.031</v>
      </c>
      <c r="AE16" s="28" t="n">
        <v>0.8252</v>
      </c>
      <c r="AF16" s="29" t="n">
        <v>6.18</v>
      </c>
      <c r="AG16" s="28" t="n"/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Aaron Jones</t>
        </is>
      </c>
      <c r="C17" s="35" t="n">
        <v>2</v>
      </c>
      <c r="D17" s="35" t="inlineStr">
        <is>
          <t>31</t>
        </is>
      </c>
      <c r="E17" s="42" t="inlineStr">
        <is>
          <t>ACT</t>
        </is>
      </c>
      <c r="F17" s="24" t="inlineStr">
        <is>
          <t>MIN</t>
        </is>
      </c>
      <c r="G17" s="24" t="inlineStr">
        <is>
          <t>12</t>
        </is>
      </c>
      <c r="H17" s="25" t="n">
        <v>0.5639999999999999</v>
      </c>
      <c r="I17" s="25" t="n"/>
      <c r="J17" s="25" t="n"/>
      <c r="K17" s="26" t="n"/>
      <c r="L17" s="25" t="n"/>
      <c r="M17" s="25" t="n">
        <v>0.3333</v>
      </c>
      <c r="N17" s="26" t="n">
        <v>4.35</v>
      </c>
      <c r="O17" s="25" t="n">
        <v>0.2545</v>
      </c>
      <c r="P17" s="25" t="n">
        <v>0.1333</v>
      </c>
      <c r="Q17" s="25" t="n">
        <v>0.1199</v>
      </c>
      <c r="R17" s="25" t="n">
        <v>0.0876</v>
      </c>
      <c r="S17" s="25" t="n">
        <v>0.739</v>
      </c>
      <c r="T17" s="26" t="n">
        <v>7.56</v>
      </c>
      <c r="U17" s="25" t="n">
        <v>0.0704</v>
      </c>
      <c r="V17" s="25" t="n">
        <v>0.0556</v>
      </c>
      <c r="W17" s="27" t="n">
        <v>17</v>
      </c>
      <c r="X17" s="28" t="n"/>
      <c r="Y17" s="28" t="n"/>
      <c r="Z17" s="28" t="n"/>
      <c r="AA17" s="28" t="n">
        <v>0.4384</v>
      </c>
      <c r="AB17" s="29" t="n">
        <v>4.43</v>
      </c>
      <c r="AC17" s="28" t="n">
        <v>0.2535</v>
      </c>
      <c r="AD17" s="28" t="n">
        <v>0.0959</v>
      </c>
      <c r="AE17" s="28" t="n">
        <v>0.7389</v>
      </c>
      <c r="AF17" s="29" t="n">
        <v>7.71</v>
      </c>
      <c r="AG17" s="28" t="n">
        <v>0.0494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Demond Claiborne</t>
        </is>
      </c>
      <c r="C18" s="22" t="n">
        <v>3</v>
      </c>
      <c r="D18" s="22" t="inlineStr">
        <is>
          <t>22</t>
        </is>
      </c>
      <c r="E18" s="23" t="inlineStr">
        <is>
          <t>ACT</t>
        </is>
      </c>
      <c r="F18" s="24" t="inlineStr"/>
      <c r="G18" s="24" t="inlineStr"/>
      <c r="H18" s="25" t="n"/>
      <c r="I18" s="25" t="n"/>
      <c r="J18" s="25" t="n"/>
      <c r="K18" s="26" t="n"/>
      <c r="L18" s="25" t="n"/>
      <c r="M18" s="25" t="n"/>
      <c r="N18" s="26" t="n"/>
      <c r="O18" s="25" t="n"/>
      <c r="P18" s="25" t="n"/>
      <c r="Q18" s="25" t="n"/>
      <c r="R18" s="25" t="n"/>
      <c r="S18" s="25" t="n"/>
      <c r="T18" s="26" t="n"/>
      <c r="U18" s="25" t="n"/>
      <c r="V18" s="25" t="n"/>
      <c r="W18" s="27" t="n">
        <v>17</v>
      </c>
      <c r="X18" s="28" t="n"/>
      <c r="Y18" s="28" t="n"/>
      <c r="Z18" s="28" t="n"/>
      <c r="AA18" s="28" t="n">
        <v>0.081</v>
      </c>
      <c r="AB18" s="29" t="n">
        <v>4.13</v>
      </c>
      <c r="AC18" s="28" t="n"/>
      <c r="AD18" s="28" t="n">
        <v>0.0198</v>
      </c>
      <c r="AE18" s="28" t="n">
        <v>0.75</v>
      </c>
      <c r="AF18" s="29" t="n">
        <v>7.13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Jermar Jefferson</t>
        </is>
      </c>
      <c r="C19" s="35" t="n">
        <v>4</v>
      </c>
      <c r="D19" s="35" t="inlineStr">
        <is>
          <t>26</t>
        </is>
      </c>
      <c r="E19" s="36" t="inlineStr">
        <is>
          <t>QUESTIONABLE</t>
        </is>
      </c>
      <c r="F19" s="24" t="inlineStr"/>
      <c r="G19" s="24" t="inlineStr"/>
      <c r="H19" s="25" t="n">
        <v>0.09</v>
      </c>
      <c r="I19" s="25" t="n"/>
      <c r="J19" s="25" t="n"/>
      <c r="K19" s="26" t="n"/>
      <c r="L19" s="25" t="n"/>
      <c r="M19" s="25" t="n"/>
      <c r="N19" s="26" t="n"/>
      <c r="O19" s="25" t="n"/>
      <c r="P19" s="25" t="n"/>
      <c r="Q19" s="25" t="n">
        <v>0.0019</v>
      </c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0.0102</v>
      </c>
      <c r="AB19" s="29" t="n">
        <v>3.67</v>
      </c>
      <c r="AC19" s="28" t="n"/>
      <c r="AD19" s="28" t="n">
        <v>0.0027</v>
      </c>
      <c r="AE19" s="28" t="n">
        <v>1</v>
      </c>
      <c r="AF19" s="29" t="n">
        <v>10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Zavier Scott</t>
        </is>
      </c>
      <c r="C20" s="22" t="n">
        <v>5</v>
      </c>
      <c r="D20" s="22" t="inlineStr">
        <is>
          <t>27</t>
        </is>
      </c>
      <c r="E20" s="23" t="inlineStr">
        <is>
          <t>ACT</t>
        </is>
      </c>
      <c r="F20" s="24" t="inlineStr">
        <is>
          <t>MIN</t>
        </is>
      </c>
      <c r="G20" s="24" t="inlineStr">
        <is>
          <t>16</t>
        </is>
      </c>
      <c r="H20" s="25" t="n">
        <v>0.181</v>
      </c>
      <c r="I20" s="25" t="n"/>
      <c r="J20" s="25" t="n"/>
      <c r="K20" s="26" t="n"/>
      <c r="L20" s="25" t="n"/>
      <c r="M20" s="25" t="n">
        <v>0.0808</v>
      </c>
      <c r="N20" s="26" t="n">
        <v>3.56</v>
      </c>
      <c r="O20" s="25" t="n">
        <v>0.0545</v>
      </c>
      <c r="P20" s="25" t="n"/>
      <c r="Q20" s="25" t="n"/>
      <c r="R20" s="25" t="n">
        <v>0.0342</v>
      </c>
      <c r="S20" s="25" t="n">
        <v>0.875</v>
      </c>
      <c r="T20" s="26" t="n">
        <v>7</v>
      </c>
      <c r="U20" s="25" t="n">
        <v>0.0423</v>
      </c>
      <c r="V20" s="25" t="n">
        <v>0.0556</v>
      </c>
      <c r="W20" s="27" t="n">
        <v>17</v>
      </c>
      <c r="X20" s="28" t="n"/>
      <c r="Y20" s="28" t="n"/>
      <c r="Z20" s="28" t="n"/>
      <c r="AA20" s="28" t="n">
        <v>0.0411</v>
      </c>
      <c r="AB20" s="29" t="n">
        <v>3.56</v>
      </c>
      <c r="AC20" s="28" t="n"/>
      <c r="AD20" s="28" t="n">
        <v>0.0241</v>
      </c>
      <c r="AE20" s="28" t="n">
        <v>0.875</v>
      </c>
      <c r="AF20" s="29" t="n">
        <v>7</v>
      </c>
      <c r="AG20" s="28" t="n">
        <v>0.0527</v>
      </c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Justin Jefferson</t>
        </is>
      </c>
      <c r="C23" s="35" t="n">
        <v>1</v>
      </c>
      <c r="D23" s="35" t="inlineStr">
        <is>
          <t>27</t>
        </is>
      </c>
      <c r="E23" s="42" t="inlineStr">
        <is>
          <t>ACT</t>
        </is>
      </c>
      <c r="F23" s="24" t="inlineStr">
        <is>
          <t>MIN</t>
        </is>
      </c>
      <c r="G23" s="24" t="inlineStr">
        <is>
          <t>17</t>
        </is>
      </c>
      <c r="H23" s="25" t="n">
        <v>0.924</v>
      </c>
      <c r="I23" s="25" t="n"/>
      <c r="J23" s="25" t="n"/>
      <c r="K23" s="26" t="n"/>
      <c r="L23" s="25" t="n"/>
      <c r="M23" s="25" t="n">
        <v>0.0051</v>
      </c>
      <c r="N23" s="26" t="n"/>
      <c r="O23" s="25" t="n"/>
      <c r="P23" s="25" t="n"/>
      <c r="Q23" s="25" t="n">
        <v>0.2979</v>
      </c>
      <c r="R23" s="25" t="n">
        <v>0.3013</v>
      </c>
      <c r="S23" s="25" t="n">
        <v>0.63</v>
      </c>
      <c r="T23" s="26" t="n">
        <v>13.69</v>
      </c>
      <c r="U23" s="25" t="n">
        <v>0.2394</v>
      </c>
      <c r="V23" s="25" t="n">
        <v>0.1111</v>
      </c>
      <c r="W23" s="27" t="n">
        <v>17</v>
      </c>
      <c r="X23" s="28" t="n"/>
      <c r="Y23" s="28" t="n"/>
      <c r="Z23" s="28" t="n"/>
      <c r="AA23" s="28" t="n">
        <v>0.0069</v>
      </c>
      <c r="AB23" s="29" t="n"/>
      <c r="AC23" s="28" t="n"/>
      <c r="AD23" s="28" t="n">
        <v>0.2634</v>
      </c>
      <c r="AE23" s="28" t="n">
        <v>0.6304</v>
      </c>
      <c r="AF23" s="29" t="n">
        <v>14.33</v>
      </c>
      <c r="AG23" s="28" t="n">
        <v>0.1661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Jordan Addison</t>
        </is>
      </c>
      <c r="C24" s="22" t="n">
        <v>2</v>
      </c>
      <c r="D24" s="22" t="inlineStr">
        <is>
          <t>24</t>
        </is>
      </c>
      <c r="E24" s="23" t="inlineStr">
        <is>
          <t>ACT</t>
        </is>
      </c>
      <c r="F24" s="24" t="inlineStr">
        <is>
          <t>MIN</t>
        </is>
      </c>
      <c r="G24" s="24" t="inlineStr">
        <is>
          <t>14</t>
        </is>
      </c>
      <c r="H24" s="25" t="n">
        <v>0.833</v>
      </c>
      <c r="I24" s="25" t="n"/>
      <c r="J24" s="25" t="n"/>
      <c r="K24" s="26" t="n"/>
      <c r="L24" s="25" t="n"/>
      <c r="M24" s="25" t="n">
        <v>0.0051</v>
      </c>
      <c r="N24" s="26" t="n"/>
      <c r="O24" s="25" t="n"/>
      <c r="P24" s="25" t="n">
        <v>0.0667</v>
      </c>
      <c r="Q24" s="25" t="n">
        <v>0.1915</v>
      </c>
      <c r="R24" s="25" t="n">
        <v>0.1688</v>
      </c>
      <c r="S24" s="25" t="n">
        <v>0.59</v>
      </c>
      <c r="T24" s="26" t="n">
        <v>13.99</v>
      </c>
      <c r="U24" s="25" t="n">
        <v>0.1831</v>
      </c>
      <c r="V24" s="25" t="n">
        <v>0.1667</v>
      </c>
      <c r="W24" s="27" t="n">
        <v>17</v>
      </c>
      <c r="X24" s="28" t="n"/>
      <c r="Y24" s="28" t="n"/>
      <c r="Z24" s="28" t="n"/>
      <c r="AA24" s="28" t="n">
        <v>0.0052</v>
      </c>
      <c r="AB24" s="29" t="n"/>
      <c r="AC24" s="28" t="n">
        <v>0.0696</v>
      </c>
      <c r="AD24" s="28" t="n">
        <v>0.1685</v>
      </c>
      <c r="AE24" s="28" t="n">
        <v>0.5899</v>
      </c>
      <c r="AF24" s="29" t="n">
        <v>13.69</v>
      </c>
      <c r="AG24" s="28" t="n">
        <v>0.2198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Jauan Jennings</t>
        </is>
      </c>
      <c r="C25" s="35" t="n">
        <v>3</v>
      </c>
      <c r="D25" s="35" t="inlineStr">
        <is>
          <t>29</t>
        </is>
      </c>
      <c r="E25" s="42" t="inlineStr">
        <is>
          <t>ACT</t>
        </is>
      </c>
      <c r="F25" s="24" t="inlineStr">
        <is>
          <t>SF</t>
        </is>
      </c>
      <c r="G25" s="24" t="inlineStr">
        <is>
          <t>15</t>
        </is>
      </c>
      <c r="H25" s="25" t="n">
        <v>0.724</v>
      </c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>
        <v>0.2203</v>
      </c>
      <c r="R25" s="25" t="n">
        <v>0.1636</v>
      </c>
      <c r="S25" s="25" t="n">
        <v>0.626</v>
      </c>
      <c r="T25" s="26" t="n">
        <v>12.39</v>
      </c>
      <c r="U25" s="25" t="n">
        <v>0.2289</v>
      </c>
      <c r="V25" s="25" t="n">
        <v>0.2727</v>
      </c>
      <c r="W25" s="27" t="n">
        <v>17</v>
      </c>
      <c r="X25" s="28" t="n"/>
      <c r="Y25" s="28" t="n"/>
      <c r="Z25" s="28" t="n"/>
      <c r="AA25" s="28" t="n">
        <v>0.0034</v>
      </c>
      <c r="AB25" s="29" t="n"/>
      <c r="AC25" s="28" t="n"/>
      <c r="AD25" s="28" t="n">
        <v>0.0988</v>
      </c>
      <c r="AE25" s="28" t="n">
        <v>0.6264999999999999</v>
      </c>
      <c r="AF25" s="29" t="n">
        <v>12.47</v>
      </c>
      <c r="AG25" s="28" t="n">
        <v>0.214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Tai Felton</t>
        </is>
      </c>
      <c r="C26" s="22" t="n">
        <v>4</v>
      </c>
      <c r="D26" s="22" t="inlineStr">
        <is>
          <t>23</t>
        </is>
      </c>
      <c r="E26" s="23" t="inlineStr">
        <is>
          <t>ACT</t>
        </is>
      </c>
      <c r="F26" s="24" t="inlineStr">
        <is>
          <t>MIN</t>
        </is>
      </c>
      <c r="G26" s="24" t="inlineStr">
        <is>
          <t>17</t>
        </is>
      </c>
      <c r="H26" s="25" t="n">
        <v>0.125</v>
      </c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/>
      <c r="R26" s="25" t="n">
        <v>0.0064</v>
      </c>
      <c r="S26" s="25" t="n"/>
      <c r="T26" s="26" t="n"/>
      <c r="U26" s="25" t="n"/>
      <c r="V26" s="25" t="n"/>
      <c r="W26" s="27" t="n">
        <v>17</v>
      </c>
      <c r="X26" s="28" t="n"/>
      <c r="Y26" s="28" t="n"/>
      <c r="Z26" s="28" t="n"/>
      <c r="AA26" s="28" t="n">
        <v>0.0008</v>
      </c>
      <c r="AB26" s="29" t="n"/>
      <c r="AC26" s="28" t="n"/>
      <c r="AD26" s="28" t="n">
        <v>0.0199</v>
      </c>
      <c r="AE26" s="28" t="n">
        <v>1</v>
      </c>
      <c r="AF26" s="29" t="n">
        <v>8.33</v>
      </c>
      <c r="AG26" s="28" t="n"/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Myles Price</t>
        </is>
      </c>
      <c r="C27" s="35" t="n">
        <v>5</v>
      </c>
      <c r="D27" s="35" t="inlineStr">
        <is>
          <t>24</t>
        </is>
      </c>
      <c r="E27" s="42" t="inlineStr">
        <is>
          <t>ACT</t>
        </is>
      </c>
      <c r="F27" s="24" t="inlineStr"/>
      <c r="G27" s="24" t="inlineStr"/>
      <c r="H27" s="25" t="n">
        <v>0.058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/>
      <c r="R27" s="25" t="n"/>
      <c r="S27" s="25" t="n"/>
      <c r="T27" s="26" t="n"/>
      <c r="U27" s="25" t="n"/>
      <c r="V27" s="25" t="n"/>
      <c r="W27" s="27" t="n">
        <v>17</v>
      </c>
      <c r="X27" s="28" t="n"/>
      <c r="Y27" s="28" t="n"/>
      <c r="Z27" s="28" t="n"/>
      <c r="AA27" s="28" t="n">
        <v>0.002</v>
      </c>
      <c r="AB27" s="29" t="n"/>
      <c r="AC27" s="28" t="n"/>
      <c r="AD27" s="28" t="n">
        <v>0.0094</v>
      </c>
      <c r="AE27" s="28" t="n">
        <v>0.65</v>
      </c>
      <c r="AF27" s="29" t="n">
        <v>12.84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Dillon Bell</t>
        </is>
      </c>
      <c r="C28" s="22" t="n">
        <v>6</v>
      </c>
      <c r="D28" s="22" t="inlineStr">
        <is>
          <t>22</t>
        </is>
      </c>
      <c r="E28" s="23" t="inlineStr">
        <is>
          <t>ACT</t>
        </is>
      </c>
      <c r="F28" s="24" t="inlineStr"/>
      <c r="G28" s="24" t="inlineStr"/>
      <c r="H28" s="25" t="n"/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/>
      <c r="R28" s="25" t="n"/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0.0021</v>
      </c>
      <c r="AB28" s="29" t="n"/>
      <c r="AC28" s="28" t="n"/>
      <c r="AD28" s="28" t="n">
        <v>0.0065</v>
      </c>
      <c r="AE28" s="28" t="n">
        <v>0.65</v>
      </c>
      <c r="AF28" s="29" t="n">
        <v>12.84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Trayvon Rudolph</t>
        </is>
      </c>
      <c r="C29" s="35" t="n">
        <v>7</v>
      </c>
      <c r="D29" s="35" t="inlineStr">
        <is>
          <t>24</t>
        </is>
      </c>
      <c r="E29" s="42" t="inlineStr">
        <is>
          <t>ACT</t>
        </is>
      </c>
      <c r="F29" s="24" t="inlineStr"/>
      <c r="G29" s="24" t="inlineStr"/>
      <c r="H29" s="25" t="n"/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/>
      <c r="R29" s="25" t="n"/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0.0022</v>
      </c>
      <c r="AB29" s="29" t="n"/>
      <c r="AC29" s="28" t="n"/>
      <c r="AD29" s="28" t="n">
        <v>0.0066</v>
      </c>
      <c r="AE29" s="28" t="n">
        <v>0.65</v>
      </c>
      <c r="AF29" s="29" t="n">
        <v>12.84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Michael Briscoe</t>
        </is>
      </c>
      <c r="C30" s="22" t="n">
        <v>8</v>
      </c>
      <c r="D30" s="22" t="inlineStr"/>
      <c r="E30" s="23" t="inlineStr">
        <is>
          <t>ACT</t>
        </is>
      </c>
      <c r="F30" s="24" t="inlineStr"/>
      <c r="G30" s="24" t="inlineStr"/>
      <c r="H30" s="25" t="n"/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/>
      <c r="R30" s="25" t="n"/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0.002</v>
      </c>
      <c r="AB30" s="29" t="n"/>
      <c r="AC30" s="28" t="n"/>
      <c r="AD30" s="28" t="n">
        <v>0.005</v>
      </c>
      <c r="AE30" s="28" t="n">
        <v>0.65</v>
      </c>
      <c r="AF30" s="29" t="n">
        <v>12.84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T.J. Hockenson</t>
        </is>
      </c>
      <c r="C32" s="22" t="n">
        <v>1</v>
      </c>
      <c r="D32" s="22" t="inlineStr">
        <is>
          <t>29</t>
        </is>
      </c>
      <c r="E32" s="23" t="inlineStr">
        <is>
          <t>ACT</t>
        </is>
      </c>
      <c r="F32" s="24" t="inlineStr">
        <is>
          <t>MIN</t>
        </is>
      </c>
      <c r="G32" s="24" t="inlineStr">
        <is>
          <t>15</t>
        </is>
      </c>
      <c r="H32" s="25" t="n">
        <v>0.732</v>
      </c>
      <c r="I32" s="25" t="n"/>
      <c r="J32" s="25" t="n"/>
      <c r="K32" s="26" t="n"/>
      <c r="L32" s="25" t="n"/>
      <c r="M32" s="25" t="n">
        <v>0.0025</v>
      </c>
      <c r="N32" s="26" t="n"/>
      <c r="O32" s="25" t="n">
        <v>0.0182</v>
      </c>
      <c r="P32" s="25" t="n"/>
      <c r="Q32" s="25" t="n">
        <v>0.1199</v>
      </c>
      <c r="R32" s="25" t="n">
        <v>0.141</v>
      </c>
      <c r="S32" s="25" t="n">
        <v>0.742</v>
      </c>
      <c r="T32" s="26" t="n">
        <v>9.48</v>
      </c>
      <c r="U32" s="25" t="n">
        <v>0.1549</v>
      </c>
      <c r="V32" s="25" t="n">
        <v>0.1667</v>
      </c>
      <c r="W32" s="27" t="n">
        <v>17</v>
      </c>
      <c r="X32" s="28" t="n"/>
      <c r="Y32" s="28" t="n"/>
      <c r="Z32" s="28" t="n"/>
      <c r="AA32" s="28" t="n">
        <v>0.0023</v>
      </c>
      <c r="AB32" s="29" t="n"/>
      <c r="AC32" s="28" t="n"/>
      <c r="AD32" s="28" t="n">
        <v>0.1502</v>
      </c>
      <c r="AE32" s="28" t="n">
        <v>0.7425</v>
      </c>
      <c r="AF32" s="29" t="n">
        <v>9.91</v>
      </c>
      <c r="AG32" s="28" t="n">
        <v>0.1579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Josh Oliver</t>
        </is>
      </c>
      <c r="C33" s="35" t="n">
        <v>2</v>
      </c>
      <c r="D33" s="35" t="inlineStr">
        <is>
          <t>29</t>
        </is>
      </c>
      <c r="E33" s="42" t="inlineStr">
        <is>
          <t>ACT</t>
        </is>
      </c>
      <c r="F33" s="24" t="inlineStr">
        <is>
          <t>MIN</t>
        </is>
      </c>
      <c r="G33" s="24" t="inlineStr">
        <is>
          <t>15</t>
        </is>
      </c>
      <c r="H33" s="25" t="n">
        <v>0.479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0.0542</v>
      </c>
      <c r="R33" s="25" t="n">
        <v>0.0406</v>
      </c>
      <c r="S33" s="25" t="n">
        <v>0.788</v>
      </c>
      <c r="T33" s="26" t="n">
        <v>10.76</v>
      </c>
      <c r="U33" s="25" t="n">
        <v>0.08450000000000001</v>
      </c>
      <c r="V33" s="25" t="n">
        <v>0.2222</v>
      </c>
      <c r="W33" s="27" t="n">
        <v>17</v>
      </c>
      <c r="X33" s="28" t="n"/>
      <c r="Y33" s="28" t="n"/>
      <c r="Z33" s="28" t="n"/>
      <c r="AA33" s="28" t="n">
        <v>0.0008</v>
      </c>
      <c r="AB33" s="29" t="n"/>
      <c r="AC33" s="28" t="n"/>
      <c r="AD33" s="28" t="n">
        <v>0.0459</v>
      </c>
      <c r="AE33" s="28" t="n">
        <v>0.7875</v>
      </c>
      <c r="AF33" s="29" t="n">
        <v>10.69</v>
      </c>
      <c r="AG33" s="28" t="n">
        <v>0.1402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Ben Yurosek</t>
        </is>
      </c>
      <c r="C34" s="22" t="n">
        <v>3</v>
      </c>
      <c r="D34" s="22" t="inlineStr">
        <is>
          <t>24</t>
        </is>
      </c>
      <c r="E34" s="23" t="inlineStr">
        <is>
          <t>ACT</t>
        </is>
      </c>
      <c r="F34" s="24" t="inlineStr">
        <is>
          <t>MIN</t>
        </is>
      </c>
      <c r="G34" s="24" t="inlineStr">
        <is>
          <t>12</t>
        </is>
      </c>
      <c r="H34" s="25" t="n">
        <v>0.166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/>
      <c r="R34" s="25" t="n">
        <v>0.0064</v>
      </c>
      <c r="S34" s="25" t="n"/>
      <c r="T34" s="26" t="n"/>
      <c r="U34" s="25" t="n"/>
      <c r="V34" s="25" t="n"/>
      <c r="W34" s="27" t="n">
        <v>17</v>
      </c>
      <c r="X34" s="28" t="n"/>
      <c r="Y34" s="28" t="n"/>
      <c r="Z34" s="28" t="n"/>
      <c r="AA34" s="28" t="n">
        <v>0.0008</v>
      </c>
      <c r="AB34" s="29" t="n"/>
      <c r="AC34" s="28" t="n"/>
      <c r="AD34" s="28" t="n">
        <v>0.0142</v>
      </c>
      <c r="AE34" s="28" t="n">
        <v>0.6667</v>
      </c>
      <c r="AF34" s="29" t="n">
        <v>7</v>
      </c>
      <c r="AG34" s="28" t="n"/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Max Bredeson</t>
        </is>
      </c>
      <c r="C35" s="35" t="n">
        <v>4</v>
      </c>
      <c r="D35" s="35" t="inlineStr">
        <is>
          <t>23</t>
        </is>
      </c>
      <c r="E35" s="42" t="inlineStr">
        <is>
          <t>ACT</t>
        </is>
      </c>
      <c r="F35" s="24" t="inlineStr"/>
      <c r="G35" s="24" t="inlineStr"/>
      <c r="H35" s="25" t="n"/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0.0022</v>
      </c>
      <c r="AB35" s="29" t="n"/>
      <c r="AC35" s="28" t="n"/>
      <c r="AD35" s="28" t="n">
        <v>0.0055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NE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1041</v>
      </c>
      <c r="D4" s="10">
        <f>$C$4/$B$4</f>
        <v/>
      </c>
      <c r="E4" s="11" t="n">
        <v>0.5558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1044</v>
      </c>
      <c r="M4" s="14" t="n">
        <v>61.4118</v>
      </c>
      <c r="N4" s="15" t="n">
        <v>0.5268</v>
      </c>
      <c r="O4" s="13" t="n">
        <v>502</v>
      </c>
      <c r="P4" s="13" t="n">
        <v>494</v>
      </c>
      <c r="Q4" s="16" t="n">
        <v>8.8825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42.1</v>
      </c>
      <c r="C7" s="11" t="n">
        <v>0.3902</v>
      </c>
      <c r="D7" s="10">
        <f>$B$7*$C$7</f>
        <v/>
      </c>
      <c r="E7" s="10">
        <f>$B$7-$D$7</f>
        <v/>
      </c>
      <c r="F7" s="12" t="n">
        <v>3942</v>
      </c>
      <c r="G7" s="12" t="n">
        <v>2001</v>
      </c>
      <c r="H7" s="12">
        <f>$F$7</f>
        <v/>
      </c>
      <c r="L7" s="13" t="n">
        <v>4459</v>
      </c>
      <c r="M7" s="13" t="n">
        <v>2191</v>
      </c>
      <c r="N7" s="14" t="n">
        <v>31</v>
      </c>
      <c r="O7" s="14" t="n">
        <v>22</v>
      </c>
      <c r="P7" s="14" t="n">
        <v>53</v>
      </c>
      <c r="Q7" s="15" t="n">
        <v>0.4150943396226415</v>
      </c>
    </row>
    <row r="8"/>
    <row r="9">
      <c r="A9" s="5" t="inlineStr">
        <is>
          <t>NOTES</t>
        </is>
      </c>
      <c r="B9" s="18" t="inlineStr">
        <is>
          <t>37% of targets and 13% of carries left this roster.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Drake Maye</t>
        </is>
      </c>
      <c r="C12" s="22" t="n">
        <v>1</v>
      </c>
      <c r="D12" s="22" t="inlineStr">
        <is>
          <t>24</t>
        </is>
      </c>
      <c r="E12" s="23" t="inlineStr">
        <is>
          <t>ACT</t>
        </is>
      </c>
      <c r="F12" s="24" t="inlineStr">
        <is>
          <t>NE</t>
        </is>
      </c>
      <c r="G12" s="24" t="inlineStr">
        <is>
          <t>17</t>
        </is>
      </c>
      <c r="H12" s="25" t="n">
        <v>0.9</v>
      </c>
      <c r="I12" s="25" t="n">
        <v>0.9801</v>
      </c>
      <c r="J12" s="25" t="n">
        <v>0.703</v>
      </c>
      <c r="K12" s="26" t="n">
        <v>8.24</v>
      </c>
      <c r="L12" s="25" t="n">
        <v>0.02</v>
      </c>
      <c r="M12" s="25" t="n">
        <v>0.1767</v>
      </c>
      <c r="N12" s="26" t="n">
        <v>6.31</v>
      </c>
      <c r="O12" s="25" t="n">
        <v>0.2135</v>
      </c>
      <c r="P12" s="25" t="n">
        <v>0.1818</v>
      </c>
      <c r="Q12" s="25" t="n"/>
      <c r="R12" s="25" t="n">
        <v>0.0021</v>
      </c>
      <c r="S12" s="25" t="n"/>
      <c r="T12" s="26" t="n"/>
      <c r="U12" s="25" t="n"/>
      <c r="V12" s="25" t="n"/>
      <c r="W12" s="27" t="n">
        <v>17</v>
      </c>
      <c r="X12" s="28" t="n">
        <v>0.7184</v>
      </c>
      <c r="Y12" s="28" t="n">
        <v>0.703</v>
      </c>
      <c r="Z12" s="28" t="n">
        <v>0.02</v>
      </c>
      <c r="AA12" s="28" t="n">
        <v>0.1256</v>
      </c>
      <c r="AB12" s="29" t="n">
        <v>6.5</v>
      </c>
      <c r="AC12" s="28" t="n">
        <v>0.1541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Tommy DeVito</t>
        </is>
      </c>
      <c r="C13" s="35" t="n">
        <v>2</v>
      </c>
      <c r="D13" s="35" t="inlineStr">
        <is>
          <t>28</t>
        </is>
      </c>
      <c r="E13" s="42" t="inlineStr">
        <is>
          <t>ACT</t>
        </is>
      </c>
      <c r="F13" s="24" t="inlineStr"/>
      <c r="G13" s="24" t="inlineStr"/>
      <c r="H13" s="25" t="n">
        <v>0.596</v>
      </c>
      <c r="I13" s="25" t="n"/>
      <c r="J13" s="25" t="n">
        <v>0.662</v>
      </c>
      <c r="K13" s="26" t="n">
        <v>6.07</v>
      </c>
      <c r="L13" s="25" t="n">
        <v>0.011</v>
      </c>
      <c r="M13" s="25" t="n"/>
      <c r="N13" s="26" t="n">
        <v>5.91</v>
      </c>
      <c r="O13" s="25" t="n"/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0.209</v>
      </c>
      <c r="Y13" s="28" t="n">
        <v>0.662</v>
      </c>
      <c r="Z13" s="28" t="n">
        <v>0.011</v>
      </c>
      <c r="AA13" s="28" t="n">
        <v>0.0377</v>
      </c>
      <c r="AB13" s="29" t="n">
        <v>5.67</v>
      </c>
      <c r="AC13" s="28" t="n">
        <v>0.0848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Behren Morton</t>
        </is>
      </c>
      <c r="C14" s="22" t="n">
        <v>3</v>
      </c>
      <c r="D14" s="22" t="inlineStr">
        <is>
          <t>24</t>
        </is>
      </c>
      <c r="E14" s="23" t="inlineStr">
        <is>
          <t>ACT</t>
        </is>
      </c>
      <c r="F14" s="24" t="inlineStr"/>
      <c r="G14" s="24" t="inlineStr"/>
      <c r="H14" s="25" t="n"/>
      <c r="I14" s="25" t="n"/>
      <c r="J14" s="25" t="n"/>
      <c r="K14" s="26" t="n"/>
      <c r="L14" s="25" t="n"/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0.0524</v>
      </c>
      <c r="Y14" s="28" t="n">
        <v>0.65</v>
      </c>
      <c r="Z14" s="28" t="n">
        <v>0.022</v>
      </c>
      <c r="AA14" s="28" t="n">
        <v>0.012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TreVeyon Henderson</t>
        </is>
      </c>
      <c r="C16" s="22" t="n">
        <v>1</v>
      </c>
      <c r="D16" s="22" t="inlineStr">
        <is>
          <t>23</t>
        </is>
      </c>
      <c r="E16" s="41" t="inlineStr">
        <is>
          <t>QUESTIONABLE</t>
        </is>
      </c>
      <c r="F16" s="24" t="inlineStr">
        <is>
          <t>NE</t>
        </is>
      </c>
      <c r="G16" s="24" t="inlineStr">
        <is>
          <t>17</t>
        </is>
      </c>
      <c r="H16" s="25" t="n">
        <v>0.459</v>
      </c>
      <c r="I16" s="25" t="n"/>
      <c r="J16" s="25" t="n"/>
      <c r="K16" s="26" t="n"/>
      <c r="L16" s="25" t="n"/>
      <c r="M16" s="25" t="n">
        <v>0.3879</v>
      </c>
      <c r="N16" s="26" t="n">
        <v>5.06</v>
      </c>
      <c r="O16" s="25" t="n">
        <v>0.382</v>
      </c>
      <c r="P16" s="25" t="n">
        <v>0.4091</v>
      </c>
      <c r="Q16" s="25" t="n"/>
      <c r="R16" s="25" t="n">
        <v>0.0871</v>
      </c>
      <c r="S16" s="25" t="n">
        <v>0.833</v>
      </c>
      <c r="T16" s="26" t="n">
        <v>6.31</v>
      </c>
      <c r="U16" s="25" t="n">
        <v>0.0615</v>
      </c>
      <c r="V16" s="25" t="n">
        <v>0.0323</v>
      </c>
      <c r="W16" s="27" t="n">
        <v>17</v>
      </c>
      <c r="X16" s="28" t="n"/>
      <c r="Y16" s="28" t="n"/>
      <c r="Z16" s="28" t="n"/>
      <c r="AA16" s="28" t="n">
        <v>0.3881</v>
      </c>
      <c r="AB16" s="29" t="n">
        <v>5.06</v>
      </c>
      <c r="AC16" s="28" t="n">
        <v>0.3469</v>
      </c>
      <c r="AD16" s="28" t="n">
        <v>0.0815</v>
      </c>
      <c r="AE16" s="28" t="n">
        <v>0.8333</v>
      </c>
      <c r="AF16" s="29" t="n">
        <v>6.31</v>
      </c>
      <c r="AG16" s="28" t="n">
        <v>0.024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Rhamondre Stevenson</t>
        </is>
      </c>
      <c r="C17" s="35" t="n">
        <v>2</v>
      </c>
      <c r="D17" s="35" t="inlineStr">
        <is>
          <t>28</t>
        </is>
      </c>
      <c r="E17" s="42" t="inlineStr">
        <is>
          <t>ACT</t>
        </is>
      </c>
      <c r="F17" s="24" t="inlineStr">
        <is>
          <t>NE</t>
        </is>
      </c>
      <c r="G17" s="24" t="inlineStr">
        <is>
          <t>14</t>
        </is>
      </c>
      <c r="H17" s="25" t="n">
        <v>0.606</v>
      </c>
      <c r="I17" s="25" t="n"/>
      <c r="J17" s="25" t="n"/>
      <c r="K17" s="26" t="n"/>
      <c r="L17" s="25" t="n"/>
      <c r="M17" s="25" t="n">
        <v>0.2802</v>
      </c>
      <c r="N17" s="26" t="n">
        <v>4.27</v>
      </c>
      <c r="O17" s="25" t="n">
        <v>0.2921</v>
      </c>
      <c r="P17" s="25" t="n">
        <v>0.3182</v>
      </c>
      <c r="Q17" s="25" t="n">
        <v>0.082</v>
      </c>
      <c r="R17" s="25" t="n">
        <v>0.07679999999999999</v>
      </c>
      <c r="S17" s="25" t="n">
        <v>0.825</v>
      </c>
      <c r="T17" s="26" t="n">
        <v>8.16</v>
      </c>
      <c r="U17" s="25" t="n">
        <v>0.0769</v>
      </c>
      <c r="V17" s="25" t="n">
        <v>0.0645</v>
      </c>
      <c r="W17" s="27" t="n">
        <v>17</v>
      </c>
      <c r="X17" s="28" t="n"/>
      <c r="Y17" s="28" t="n"/>
      <c r="Z17" s="28" t="n"/>
      <c r="AA17" s="28" t="n">
        <v>0.2967</v>
      </c>
      <c r="AB17" s="29" t="n">
        <v>4.1</v>
      </c>
      <c r="AC17" s="28" t="n">
        <v>0.3756</v>
      </c>
      <c r="AD17" s="28" t="n">
        <v>0.0654</v>
      </c>
      <c r="AE17" s="28" t="n">
        <v>0.8248</v>
      </c>
      <c r="AF17" s="29" t="n">
        <v>7.29</v>
      </c>
      <c r="AG17" s="28" t="n">
        <v>0.0454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Corey Kiner</t>
        </is>
      </c>
      <c r="C18" s="22" t="n">
        <v>3</v>
      </c>
      <c r="D18" s="22" t="inlineStr">
        <is>
          <t>24</t>
        </is>
      </c>
      <c r="E18" s="23" t="inlineStr">
        <is>
          <t>ACT</t>
        </is>
      </c>
      <c r="F18" s="24" t="inlineStr">
        <is>
          <t>ARI</t>
        </is>
      </c>
      <c r="G18" s="24" t="inlineStr">
        <is>
          <t>4</t>
        </is>
      </c>
      <c r="H18" s="25" t="n">
        <v>0.133</v>
      </c>
      <c r="I18" s="25" t="n"/>
      <c r="J18" s="25" t="n"/>
      <c r="K18" s="26" t="n"/>
      <c r="L18" s="25" t="n"/>
      <c r="M18" s="25" t="n">
        <v>0.0331</v>
      </c>
      <c r="N18" s="26" t="n"/>
      <c r="O18" s="25" t="n">
        <v>0.0417</v>
      </c>
      <c r="P18" s="25" t="n"/>
      <c r="Q18" s="25" t="n"/>
      <c r="R18" s="25" t="n">
        <v>0.0049</v>
      </c>
      <c r="S18" s="25" t="n"/>
      <c r="T18" s="26" t="n"/>
      <c r="U18" s="25" t="n">
        <v>0.0104</v>
      </c>
      <c r="V18" s="25" t="n"/>
      <c r="W18" s="27" t="n">
        <v>17</v>
      </c>
      <c r="X18" s="28" t="n"/>
      <c r="Y18" s="28" t="n"/>
      <c r="Z18" s="28" t="n"/>
      <c r="AA18" s="28" t="n">
        <v>0.0525</v>
      </c>
      <c r="AB18" s="29" t="n">
        <v>4.13</v>
      </c>
      <c r="AC18" s="28" t="n"/>
      <c r="AD18" s="28" t="n">
        <v>0.0141</v>
      </c>
      <c r="AE18" s="28" t="n">
        <v>0.6667</v>
      </c>
      <c r="AF18" s="29" t="n">
        <v>7.13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Lan Larison</t>
        </is>
      </c>
      <c r="C19" s="35" t="n">
        <v>4</v>
      </c>
      <c r="D19" s="35" t="inlineStr">
        <is>
          <t>24</t>
        </is>
      </c>
      <c r="E19" s="42" t="inlineStr">
        <is>
          <t>ACT</t>
        </is>
      </c>
      <c r="F19" s="24" t="inlineStr"/>
      <c r="G19" s="24" t="inlineStr"/>
      <c r="H19" s="25" t="n"/>
      <c r="I19" s="25" t="n"/>
      <c r="J19" s="25" t="n"/>
      <c r="K19" s="26" t="n"/>
      <c r="L19" s="25" t="n"/>
      <c r="M19" s="25" t="n"/>
      <c r="N19" s="26" t="n"/>
      <c r="O19" s="25" t="n"/>
      <c r="P19" s="25" t="n"/>
      <c r="Q19" s="25" t="n"/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0.0183</v>
      </c>
      <c r="AB19" s="29" t="n">
        <v>4.13</v>
      </c>
      <c r="AC19" s="28" t="n"/>
      <c r="AD19" s="28" t="n">
        <v>0.003</v>
      </c>
      <c r="AE19" s="28" t="n">
        <v>0.75</v>
      </c>
      <c r="AF19" s="29" t="n">
        <v>7.13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Reggie Gilliam</t>
        </is>
      </c>
      <c r="C20" s="22" t="n">
        <v>5</v>
      </c>
      <c r="D20" s="22" t="inlineStr">
        <is>
          <t>29</t>
        </is>
      </c>
      <c r="E20" s="23" t="inlineStr">
        <is>
          <t>ACT</t>
        </is>
      </c>
      <c r="F20" s="24" t="inlineStr">
        <is>
          <t>BUF</t>
        </is>
      </c>
      <c r="G20" s="24" t="inlineStr">
        <is>
          <t>17</t>
        </is>
      </c>
      <c r="H20" s="25" t="n">
        <v>0.17</v>
      </c>
      <c r="I20" s="25" t="n"/>
      <c r="J20" s="25" t="n"/>
      <c r="K20" s="26" t="n"/>
      <c r="L20" s="25" t="n"/>
      <c r="M20" s="25" t="n">
        <v>0.0038</v>
      </c>
      <c r="N20" s="26" t="n"/>
      <c r="O20" s="25" t="n">
        <v>0.0089</v>
      </c>
      <c r="P20" s="25" t="n"/>
      <c r="Q20" s="25" t="n"/>
      <c r="R20" s="25" t="n">
        <v>0.0042</v>
      </c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0.0284</v>
      </c>
      <c r="AB20" s="29" t="n">
        <v>2.2</v>
      </c>
      <c r="AC20" s="28" t="n"/>
      <c r="AD20" s="28" t="n">
        <v>0.0048</v>
      </c>
      <c r="AE20" s="28" t="n">
        <v>1</v>
      </c>
      <c r="AF20" s="29" t="n">
        <v>9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inlineStr">
        <is>
          <t>JaMycal Hasty</t>
        </is>
      </c>
      <c r="C21" s="35" t="n">
        <v>6</v>
      </c>
      <c r="D21" s="35" t="inlineStr">
        <is>
          <t>29</t>
        </is>
      </c>
      <c r="E21" s="42" t="inlineStr">
        <is>
          <t>ACT</t>
        </is>
      </c>
      <c r="F21" s="24" t="inlineStr"/>
      <c r="G21" s="24" t="inlineStr"/>
      <c r="H21" s="25" t="n">
        <v>0.102</v>
      </c>
      <c r="I21" s="25" t="n"/>
      <c r="J21" s="25" t="n"/>
      <c r="K21" s="26" t="n"/>
      <c r="L21" s="25" t="n"/>
      <c r="M21" s="25" t="n"/>
      <c r="N21" s="26" t="n">
        <v>3.45</v>
      </c>
      <c r="O21" s="25" t="n"/>
      <c r="P21" s="25" t="n"/>
      <c r="Q21" s="25" t="n">
        <v>0.024</v>
      </c>
      <c r="R21" s="25" t="n"/>
      <c r="S21" s="25" t="n"/>
      <c r="T21" s="26" t="n"/>
      <c r="U21" s="25" t="n"/>
      <c r="V21" s="25" t="n"/>
      <c r="W21" s="27" t="n">
        <v>17</v>
      </c>
      <c r="X21" s="28" t="n"/>
      <c r="Y21" s="28" t="n"/>
      <c r="Z21" s="28" t="n"/>
      <c r="AA21" s="28" t="n">
        <v>0.0262</v>
      </c>
      <c r="AB21" s="29" t="n">
        <v>3.45</v>
      </c>
      <c r="AC21" s="28" t="n"/>
      <c r="AD21" s="28" t="n">
        <v>0.0134</v>
      </c>
      <c r="AE21" s="28" t="n">
        <v>0.8333</v>
      </c>
      <c r="AF21" s="29" t="n">
        <v>7.13</v>
      </c>
      <c r="AG21" s="28" t="n">
        <v>0.0457</v>
      </c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A.J. Brown</t>
        </is>
      </c>
      <c r="C23" s="35" t="n">
        <v>1</v>
      </c>
      <c r="D23" s="35" t="inlineStr">
        <is>
          <t>29</t>
        </is>
      </c>
      <c r="E23" s="42" t="inlineStr">
        <is>
          <t>ACT</t>
        </is>
      </c>
      <c r="F23" s="24" t="inlineStr">
        <is>
          <t>PHI</t>
        </is>
      </c>
      <c r="G23" s="24" t="inlineStr">
        <is>
          <t>15</t>
        </is>
      </c>
      <c r="H23" s="25" t="n">
        <v>0.891</v>
      </c>
      <c r="I23" s="25" t="n"/>
      <c r="J23" s="25" t="n"/>
      <c r="K23" s="26" t="n"/>
      <c r="L23" s="25" t="n"/>
      <c r="M23" s="25" t="n"/>
      <c r="N23" s="26" t="n"/>
      <c r="O23" s="25" t="n"/>
      <c r="P23" s="25" t="n"/>
      <c r="Q23" s="25" t="n">
        <v>0.2321</v>
      </c>
      <c r="R23" s="25" t="n">
        <v>0.2608</v>
      </c>
      <c r="S23" s="25" t="n">
        <v>0.663</v>
      </c>
      <c r="T23" s="26" t="n">
        <v>13.92</v>
      </c>
      <c r="U23" s="25" t="n">
        <v>0.2222</v>
      </c>
      <c r="V23" s="25" t="n">
        <v>0.2692</v>
      </c>
      <c r="W23" s="27" t="n">
        <v>17</v>
      </c>
      <c r="X23" s="28" t="n"/>
      <c r="Y23" s="28" t="n"/>
      <c r="Z23" s="28" t="n"/>
      <c r="AA23" s="28" t="n">
        <v>0.0144</v>
      </c>
      <c r="AB23" s="29" t="n"/>
      <c r="AC23" s="28" t="n"/>
      <c r="AD23" s="28" t="n">
        <v>0.1802</v>
      </c>
      <c r="AE23" s="28" t="n">
        <v>0.6627999999999999</v>
      </c>
      <c r="AF23" s="29" t="n">
        <v>14.1</v>
      </c>
      <c r="AG23" s="28" t="n">
        <v>0.2084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Romeo Doubs</t>
        </is>
      </c>
      <c r="C24" s="22" t="n">
        <v>2</v>
      </c>
      <c r="D24" s="22" t="inlineStr">
        <is>
          <t>26</t>
        </is>
      </c>
      <c r="E24" s="23" t="inlineStr">
        <is>
          <t>ACT</t>
        </is>
      </c>
      <c r="F24" s="24" t="inlineStr">
        <is>
          <t>GB</t>
        </is>
      </c>
      <c r="G24" s="24" t="inlineStr">
        <is>
          <t>16</t>
        </is>
      </c>
      <c r="H24" s="25" t="n">
        <v>0.773</v>
      </c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>
        <v>0.1552</v>
      </c>
      <c r="R24" s="25" t="n">
        <v>0.1848</v>
      </c>
      <c r="S24" s="25" t="n">
        <v>0.638</v>
      </c>
      <c r="T24" s="26" t="n">
        <v>12.75</v>
      </c>
      <c r="U24" s="25" t="n">
        <v>0.2615</v>
      </c>
      <c r="V24" s="25" t="n">
        <v>0.2308</v>
      </c>
      <c r="W24" s="27" t="n">
        <v>17</v>
      </c>
      <c r="X24" s="28" t="n"/>
      <c r="Y24" s="28" t="n"/>
      <c r="Z24" s="28" t="n"/>
      <c r="AA24" s="28" t="n">
        <v>0.0053</v>
      </c>
      <c r="AB24" s="29" t="n"/>
      <c r="AC24" s="28" t="n"/>
      <c r="AD24" s="28" t="n">
        <v>0.1199</v>
      </c>
      <c r="AE24" s="28" t="n">
        <v>0.6378</v>
      </c>
      <c r="AF24" s="29" t="n">
        <v>12.49</v>
      </c>
      <c r="AG24" s="28" t="n">
        <v>0.1581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DeMario Douglas</t>
        </is>
      </c>
      <c r="C25" s="35" t="n">
        <v>3</v>
      </c>
      <c r="D25" s="35" t="inlineStr">
        <is>
          <t>25</t>
        </is>
      </c>
      <c r="E25" s="42" t="inlineStr">
        <is>
          <t>ACT</t>
        </is>
      </c>
      <c r="F25" s="24" t="inlineStr">
        <is>
          <t>NE</t>
        </is>
      </c>
      <c r="G25" s="24" t="inlineStr">
        <is>
          <t>17</t>
        </is>
      </c>
      <c r="H25" s="25" t="n">
        <v>0.431</v>
      </c>
      <c r="I25" s="25" t="n"/>
      <c r="J25" s="25" t="n"/>
      <c r="K25" s="26" t="n"/>
      <c r="L25" s="25" t="n"/>
      <c r="M25" s="25" t="n">
        <v>0.0151</v>
      </c>
      <c r="N25" s="26" t="n"/>
      <c r="O25" s="25" t="n">
        <v>0.0112</v>
      </c>
      <c r="P25" s="25" t="n"/>
      <c r="Q25" s="25" t="n">
        <v>0.174</v>
      </c>
      <c r="R25" s="25" t="n">
        <v>0.0954</v>
      </c>
      <c r="S25" s="25" t="n">
        <v>0.6909999999999999</v>
      </c>
      <c r="T25" s="26" t="n">
        <v>12.35</v>
      </c>
      <c r="U25" s="25" t="n">
        <v>0.1077</v>
      </c>
      <c r="V25" s="25" t="n">
        <v>0.0968</v>
      </c>
      <c r="W25" s="27" t="n">
        <v>17</v>
      </c>
      <c r="X25" s="28" t="n"/>
      <c r="Y25" s="28" t="n"/>
      <c r="Z25" s="28" t="n"/>
      <c r="AA25" s="28" t="n">
        <v>0.0037</v>
      </c>
      <c r="AB25" s="29" t="n">
        <v>4.33</v>
      </c>
      <c r="AC25" s="28" t="n"/>
      <c r="AD25" s="28" t="n">
        <v>0.0927</v>
      </c>
      <c r="AE25" s="28" t="n">
        <v>0.6911</v>
      </c>
      <c r="AF25" s="29" t="n">
        <v>11.16</v>
      </c>
      <c r="AG25" s="28" t="n">
        <v>0.0915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Mack Hollins</t>
        </is>
      </c>
      <c r="C26" s="22" t="n">
        <v>4</v>
      </c>
      <c r="D26" s="22" t="inlineStr">
        <is>
          <t>32</t>
        </is>
      </c>
      <c r="E26" s="23" t="inlineStr">
        <is>
          <t>ACT</t>
        </is>
      </c>
      <c r="F26" s="24" t="inlineStr">
        <is>
          <t>NE</t>
        </is>
      </c>
      <c r="G26" s="24" t="inlineStr">
        <is>
          <t>15</t>
        </is>
      </c>
      <c r="H26" s="25" t="n">
        <v>0.618</v>
      </c>
      <c r="I26" s="25" t="n"/>
      <c r="J26" s="25" t="n"/>
      <c r="K26" s="26" t="n"/>
      <c r="L26" s="25" t="n"/>
      <c r="M26" s="25" t="n">
        <v>0.0022</v>
      </c>
      <c r="N26" s="26" t="n"/>
      <c r="O26" s="25" t="n"/>
      <c r="P26" s="25" t="n"/>
      <c r="Q26" s="25" t="n">
        <v>0.101</v>
      </c>
      <c r="R26" s="25" t="n">
        <v>0.1349</v>
      </c>
      <c r="S26" s="25" t="n">
        <v>0.66</v>
      </c>
      <c r="T26" s="26" t="n">
        <v>12.38</v>
      </c>
      <c r="U26" s="25" t="n">
        <v>0.0769</v>
      </c>
      <c r="V26" s="25" t="n">
        <v>0.0645</v>
      </c>
      <c r="W26" s="27" t="n">
        <v>17</v>
      </c>
      <c r="X26" s="28" t="n"/>
      <c r="Y26" s="28" t="n"/>
      <c r="Z26" s="28" t="n"/>
      <c r="AA26" s="28" t="n">
        <v>0.0021</v>
      </c>
      <c r="AB26" s="29" t="n">
        <v>4</v>
      </c>
      <c r="AC26" s="28" t="n"/>
      <c r="AD26" s="28" t="n">
        <v>0.0709</v>
      </c>
      <c r="AE26" s="28" t="n">
        <v>0.6598000000000001</v>
      </c>
      <c r="AF26" s="29" t="n">
        <v>12.41</v>
      </c>
      <c r="AG26" s="28" t="n">
        <v>0.07870000000000001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Kyle Williams</t>
        </is>
      </c>
      <c r="C27" s="35" t="n">
        <v>5</v>
      </c>
      <c r="D27" s="35" t="inlineStr">
        <is>
          <t>23</t>
        </is>
      </c>
      <c r="E27" s="42" t="inlineStr">
        <is>
          <t>ACT</t>
        </is>
      </c>
      <c r="F27" s="24" t="inlineStr">
        <is>
          <t>NE</t>
        </is>
      </c>
      <c r="G27" s="24" t="inlineStr">
        <is>
          <t>17</t>
        </is>
      </c>
      <c r="H27" s="25" t="n">
        <v>0.308</v>
      </c>
      <c r="I27" s="25" t="n"/>
      <c r="J27" s="25" t="n"/>
      <c r="K27" s="26" t="n"/>
      <c r="L27" s="25" t="n"/>
      <c r="M27" s="25" t="n">
        <v>0.0043</v>
      </c>
      <c r="N27" s="26" t="n"/>
      <c r="O27" s="25" t="n"/>
      <c r="P27" s="25" t="n"/>
      <c r="Q27" s="25" t="n"/>
      <c r="R27" s="25" t="n">
        <v>0.0436</v>
      </c>
      <c r="S27" s="25" t="n">
        <v>0.476</v>
      </c>
      <c r="T27" s="26" t="n"/>
      <c r="U27" s="25" t="n"/>
      <c r="V27" s="25" t="n">
        <v>0.0968</v>
      </c>
      <c r="W27" s="27" t="n">
        <v>17</v>
      </c>
      <c r="X27" s="28" t="n"/>
      <c r="Y27" s="28" t="n"/>
      <c r="Z27" s="28" t="n"/>
      <c r="AA27" s="28" t="n">
        <v>0.0024</v>
      </c>
      <c r="AB27" s="29" t="n"/>
      <c r="AC27" s="28" t="n"/>
      <c r="AD27" s="28" t="n">
        <v>0.0273</v>
      </c>
      <c r="AE27" s="28" t="n">
        <v>0.4762</v>
      </c>
      <c r="AF27" s="29" t="n">
        <v>12.84</v>
      </c>
      <c r="AG27" s="28" t="n">
        <v>0.07199999999999999</v>
      </c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Efton Chism</t>
        </is>
      </c>
      <c r="C28" s="22" t="n">
        <v>6</v>
      </c>
      <c r="D28" s="22" t="inlineStr">
        <is>
          <t>24</t>
        </is>
      </c>
      <c r="E28" s="23" t="inlineStr">
        <is>
          <t>ACT</t>
        </is>
      </c>
      <c r="F28" s="24" t="inlineStr">
        <is>
          <t>NE</t>
        </is>
      </c>
      <c r="G28" s="24" t="inlineStr">
        <is>
          <t>8</t>
        </is>
      </c>
      <c r="H28" s="25" t="n">
        <v>0.179</v>
      </c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/>
      <c r="R28" s="25" t="n">
        <v>0.0062</v>
      </c>
      <c r="S28" s="25" t="n"/>
      <c r="T28" s="26" t="n"/>
      <c r="U28" s="25" t="n">
        <v>0.0154</v>
      </c>
      <c r="V28" s="25" t="n">
        <v>0.0323</v>
      </c>
      <c r="W28" s="27" t="n">
        <v>17</v>
      </c>
      <c r="X28" s="28" t="n"/>
      <c r="Y28" s="28" t="n"/>
      <c r="Z28" s="28" t="n"/>
      <c r="AA28" s="28" t="n">
        <v>0.0007</v>
      </c>
      <c r="AB28" s="29" t="n"/>
      <c r="AC28" s="28" t="n"/>
      <c r="AD28" s="28" t="n">
        <v>0.0065</v>
      </c>
      <c r="AE28" s="28" t="n">
        <v>1</v>
      </c>
      <c r="AF28" s="29" t="n">
        <v>12.84</v>
      </c>
      <c r="AG28" s="28" t="n">
        <v>0.024</v>
      </c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Tejhaun Palmer</t>
        </is>
      </c>
      <c r="C29" s="35" t="n">
        <v>7</v>
      </c>
      <c r="D29" s="35" t="inlineStr">
        <is>
          <t>26</t>
        </is>
      </c>
      <c r="E29" s="42" t="inlineStr">
        <is>
          <t>ACT</t>
        </is>
      </c>
      <c r="F29" s="24" t="inlineStr"/>
      <c r="G29" s="24" t="inlineStr"/>
      <c r="H29" s="25" t="n">
        <v>0.07000000000000001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/>
      <c r="R29" s="25" t="n"/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0.0021</v>
      </c>
      <c r="AB29" s="29" t="n"/>
      <c r="AC29" s="28" t="n"/>
      <c r="AD29" s="28" t="n">
        <v>0.0101</v>
      </c>
      <c r="AE29" s="28" t="n">
        <v>0.65</v>
      </c>
      <c r="AF29" s="29" t="n">
        <v>12.84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Kyle Dixon</t>
        </is>
      </c>
      <c r="C30" s="22" t="n">
        <v>8</v>
      </c>
      <c r="D30" s="22" t="inlineStr">
        <is>
          <t>25</t>
        </is>
      </c>
      <c r="E30" s="23" t="inlineStr">
        <is>
          <t>ACT</t>
        </is>
      </c>
      <c r="F30" s="24" t="inlineStr"/>
      <c r="G30" s="24" t="inlineStr"/>
      <c r="H30" s="25" t="n"/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/>
      <c r="R30" s="25" t="n"/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0.0019</v>
      </c>
      <c r="AB30" s="29" t="n"/>
      <c r="AC30" s="28" t="n"/>
      <c r="AD30" s="28" t="n">
        <v>0.0081</v>
      </c>
      <c r="AE30" s="28" t="n">
        <v>0.65</v>
      </c>
      <c r="AF30" s="29" t="n">
        <v>12.84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Hunter Henry</t>
        </is>
      </c>
      <c r="C32" s="22" t="n">
        <v>1</v>
      </c>
      <c r="D32" s="22" t="inlineStr">
        <is>
          <t>31</t>
        </is>
      </c>
      <c r="E32" s="23" t="inlineStr">
        <is>
          <t>ACT</t>
        </is>
      </c>
      <c r="F32" s="24" t="inlineStr">
        <is>
          <t>NE</t>
        </is>
      </c>
      <c r="G32" s="24" t="inlineStr">
        <is>
          <t>17</t>
        </is>
      </c>
      <c r="H32" s="25" t="n">
        <v>0.789</v>
      </c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>
        <v>0.194</v>
      </c>
      <c r="R32" s="25" t="n">
        <v>0.1805</v>
      </c>
      <c r="S32" s="25" t="n">
        <v>0.6870000000000001</v>
      </c>
      <c r="T32" s="26" t="n">
        <v>11.54</v>
      </c>
      <c r="U32" s="25" t="n">
        <v>0.3385</v>
      </c>
      <c r="V32" s="25" t="n">
        <v>0.2258</v>
      </c>
      <c r="W32" s="27" t="n">
        <v>17</v>
      </c>
      <c r="X32" s="28" t="n"/>
      <c r="Y32" s="28" t="n"/>
      <c r="Z32" s="28" t="n"/>
      <c r="AA32" s="28" t="n">
        <v>0.0009</v>
      </c>
      <c r="AB32" s="29" t="n"/>
      <c r="AC32" s="28" t="n"/>
      <c r="AD32" s="28" t="n">
        <v>0.1485</v>
      </c>
      <c r="AE32" s="28" t="n">
        <v>0.6867</v>
      </c>
      <c r="AF32" s="29" t="n">
        <v>11.08</v>
      </c>
      <c r="AG32" s="28" t="n">
        <v>0.1618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Eli Raridon</t>
        </is>
      </c>
      <c r="C33" s="35" t="n">
        <v>2</v>
      </c>
      <c r="D33" s="35" t="inlineStr">
        <is>
          <t>22</t>
        </is>
      </c>
      <c r="E33" s="42" t="inlineStr">
        <is>
          <t>ACT</t>
        </is>
      </c>
      <c r="F33" s="24" t="inlineStr"/>
      <c r="G33" s="24" t="inlineStr"/>
      <c r="H33" s="25" t="n"/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/>
      <c r="R33" s="25" t="n"/>
      <c r="S33" s="25" t="n"/>
      <c r="T33" s="26" t="n"/>
      <c r="U33" s="25" t="n"/>
      <c r="V33" s="25" t="n"/>
      <c r="W33" s="27" t="n">
        <v>17</v>
      </c>
      <c r="X33" s="28" t="n"/>
      <c r="Y33" s="28" t="n"/>
      <c r="Z33" s="28" t="n"/>
      <c r="AA33" s="28" t="n">
        <v>0.0021</v>
      </c>
      <c r="AB33" s="29" t="n"/>
      <c r="AC33" s="28" t="n"/>
      <c r="AD33" s="28" t="n">
        <v>0.0594</v>
      </c>
      <c r="AE33" s="28" t="n">
        <v>0.65</v>
      </c>
      <c r="AF33" s="29" t="n">
        <v>10.32</v>
      </c>
      <c r="AG33" s="28" t="n"/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Tanner Arkin</t>
        </is>
      </c>
      <c r="C34" s="22" t="n">
        <v>3</v>
      </c>
      <c r="D34" s="22" t="inlineStr">
        <is>
          <t>23</t>
        </is>
      </c>
      <c r="E34" s="23" t="inlineStr">
        <is>
          <t>ACT</t>
        </is>
      </c>
      <c r="F34" s="24" t="inlineStr"/>
      <c r="G34" s="24" t="inlineStr"/>
      <c r="H34" s="25" t="n"/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/>
      <c r="R34" s="25" t="n"/>
      <c r="S34" s="25" t="n"/>
      <c r="T34" s="26" t="n"/>
      <c r="U34" s="25" t="n"/>
      <c r="V34" s="25" t="n"/>
      <c r="W34" s="27" t="n">
        <v>17</v>
      </c>
      <c r="X34" s="28" t="n"/>
      <c r="Y34" s="28" t="n"/>
      <c r="Z34" s="28" t="n"/>
      <c r="AA34" s="28" t="n">
        <v>0.0021</v>
      </c>
      <c r="AB34" s="29" t="n"/>
      <c r="AC34" s="28" t="n"/>
      <c r="AD34" s="28" t="n">
        <v>0.0164</v>
      </c>
      <c r="AE34" s="28" t="n">
        <v>0.65</v>
      </c>
      <c r="AF34" s="29" t="n">
        <v>10.32</v>
      </c>
      <c r="AG34" s="28" t="n"/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Matt LaCosse</t>
        </is>
      </c>
      <c r="C35" s="35" t="n">
        <v>4</v>
      </c>
      <c r="D35" s="35" t="inlineStr">
        <is>
          <t>29</t>
        </is>
      </c>
      <c r="E35" s="42" t="inlineStr">
        <is>
          <t>ACT</t>
        </is>
      </c>
      <c r="F35" s="24" t="inlineStr"/>
      <c r="G35" s="24" t="inlineStr"/>
      <c r="H35" s="25" t="n"/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0.0021</v>
      </c>
      <c r="AB35" s="29" t="n"/>
      <c r="AC35" s="28" t="n"/>
      <c r="AD35" s="28" t="n">
        <v>0.0064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NO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1064</v>
      </c>
      <c r="D4" s="10">
        <f>$C$4/$B$4</f>
        <v/>
      </c>
      <c r="E4" s="11" t="n">
        <v>0.5778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1075</v>
      </c>
      <c r="M4" s="14" t="n">
        <v>63.2353</v>
      </c>
      <c r="N4" s="15" t="n">
        <v>0.5953000000000001</v>
      </c>
      <c r="O4" s="13" t="n">
        <v>591</v>
      </c>
      <c r="P4" s="13" t="n">
        <v>435</v>
      </c>
      <c r="Q4" s="16" t="n">
        <v>6.8139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38.1</v>
      </c>
      <c r="C7" s="11" t="n">
        <v>0.3611</v>
      </c>
      <c r="D7" s="10">
        <f>$B$7*$C$7</f>
        <v/>
      </c>
      <c r="E7" s="10">
        <f>$B$7-$D$7</f>
        <v/>
      </c>
      <c r="F7" s="12" t="n">
        <v>3953</v>
      </c>
      <c r="G7" s="12" t="n">
        <v>1811</v>
      </c>
      <c r="H7" s="12">
        <f>$F$7</f>
        <v/>
      </c>
      <c r="L7" s="13" t="n">
        <v>4027</v>
      </c>
      <c r="M7" s="13" t="n">
        <v>1603</v>
      </c>
      <c r="N7" s="14" t="n">
        <v>19</v>
      </c>
      <c r="O7" s="14" t="n">
        <v>9</v>
      </c>
      <c r="P7" s="14" t="n">
        <v>28</v>
      </c>
      <c r="Q7" s="15" t="n">
        <v>0.3214285714285715</v>
      </c>
    </row>
    <row r="8"/>
    <row r="9">
      <c r="A9" s="5" t="inlineStr">
        <is>
          <t>NOTES</t>
        </is>
      </c>
      <c r="B9" s="18" t="inlineStr">
        <is>
          <t>16% of targets and 30% of carries left this roster.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Tyler Shough</t>
        </is>
      </c>
      <c r="C12" s="22" t="n">
        <v>1</v>
      </c>
      <c r="D12" s="22" t="inlineStr">
        <is>
          <t>26</t>
        </is>
      </c>
      <c r="E12" s="23" t="inlineStr">
        <is>
          <t>ACT</t>
        </is>
      </c>
      <c r="F12" s="24" t="inlineStr">
        <is>
          <t>NO</t>
        </is>
      </c>
      <c r="G12" s="24" t="inlineStr">
        <is>
          <t>11</t>
        </is>
      </c>
      <c r="H12" s="25" t="n">
        <v>0.835</v>
      </c>
      <c r="I12" s="25" t="n">
        <v>0.5533</v>
      </c>
      <c r="J12" s="25" t="n">
        <v>0.676</v>
      </c>
      <c r="K12" s="26" t="n">
        <v>7.29</v>
      </c>
      <c r="L12" s="25" t="n">
        <v>0.018</v>
      </c>
      <c r="M12" s="25" t="n">
        <v>0.089</v>
      </c>
      <c r="N12" s="26" t="n">
        <v>4.89</v>
      </c>
      <c r="O12" s="25" t="n">
        <v>0.2167</v>
      </c>
      <c r="P12" s="25" t="n">
        <v>0.3333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0.5158</v>
      </c>
      <c r="Y12" s="28" t="n">
        <v>0.676</v>
      </c>
      <c r="Z12" s="28" t="n">
        <v>0.018</v>
      </c>
      <c r="AA12" s="28" t="n">
        <v>0.0708</v>
      </c>
      <c r="AB12" s="29" t="n">
        <v>4.89</v>
      </c>
      <c r="AC12" s="28" t="n">
        <v>0.1826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Spencer Rattler</t>
        </is>
      </c>
      <c r="C13" s="35" t="n">
        <v>2</v>
      </c>
      <c r="D13" s="35" t="inlineStr">
        <is>
          <t>25</t>
        </is>
      </c>
      <c r="E13" s="42" t="inlineStr">
        <is>
          <t>ACT</t>
        </is>
      </c>
      <c r="F13" s="24" t="inlineStr">
        <is>
          <t>NO</t>
        </is>
      </c>
      <c r="G13" s="24" t="inlineStr">
        <is>
          <t>9</t>
        </is>
      </c>
      <c r="H13" s="25" t="n">
        <v>0.841</v>
      </c>
      <c r="I13" s="25" t="n">
        <v>0.4349</v>
      </c>
      <c r="J13" s="25" t="n">
        <v>0.643</v>
      </c>
      <c r="K13" s="26" t="n">
        <v>6.05</v>
      </c>
      <c r="L13" s="25" t="n">
        <v>0.02</v>
      </c>
      <c r="M13" s="25" t="n">
        <v>0.0703</v>
      </c>
      <c r="N13" s="26" t="n">
        <v>5.57</v>
      </c>
      <c r="O13" s="25" t="n">
        <v>0.0667</v>
      </c>
      <c r="P13" s="25" t="n"/>
      <c r="Q13" s="25" t="n"/>
      <c r="R13" s="25" t="n">
        <v>0.0035</v>
      </c>
      <c r="S13" s="25" t="n"/>
      <c r="T13" s="26" t="n"/>
      <c r="U13" s="25" t="n">
        <v>0.0233</v>
      </c>
      <c r="V13" s="25" t="n"/>
      <c r="W13" s="27" t="n">
        <v>17</v>
      </c>
      <c r="X13" s="28" t="n">
        <v>0.3991</v>
      </c>
      <c r="Y13" s="28" t="n">
        <v>0.643</v>
      </c>
      <c r="Z13" s="28" t="n">
        <v>0.02</v>
      </c>
      <c r="AA13" s="28" t="n">
        <v>0.0434</v>
      </c>
      <c r="AB13" s="29" t="n">
        <v>6.66</v>
      </c>
      <c r="AC13" s="28" t="n"/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Zach Wilson</t>
        </is>
      </c>
      <c r="C14" s="22" t="n">
        <v>3</v>
      </c>
      <c r="D14" s="22" t="inlineStr">
        <is>
          <t>27</t>
        </is>
      </c>
      <c r="E14" s="23" t="inlineStr">
        <is>
          <t>ACT</t>
        </is>
      </c>
      <c r="F14" s="24" t="inlineStr">
        <is>
          <t>MIA</t>
        </is>
      </c>
      <c r="G14" s="24" t="inlineStr">
        <is>
          <t>4</t>
        </is>
      </c>
      <c r="H14" s="25" t="n">
        <v>0.342</v>
      </c>
      <c r="I14" s="25" t="n">
        <v>0.023</v>
      </c>
      <c r="J14" s="25" t="n">
        <v>0.601</v>
      </c>
      <c r="K14" s="26" t="n">
        <v>6.17</v>
      </c>
      <c r="L14" s="25" t="n">
        <v>0.019</v>
      </c>
      <c r="M14" s="25" t="n">
        <v>0.0024</v>
      </c>
      <c r="N14" s="26" t="n">
        <v>6.81</v>
      </c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0.0668</v>
      </c>
      <c r="Y14" s="28" t="n">
        <v>0.601</v>
      </c>
      <c r="Z14" s="28" t="n">
        <v>0.019</v>
      </c>
      <c r="AA14" s="28" t="n">
        <v>0.009299999999999999</v>
      </c>
      <c r="AB14" s="29" t="n">
        <v>6.62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Travis Etienne</t>
        </is>
      </c>
      <c r="C16" s="22" t="n">
        <v>1</v>
      </c>
      <c r="D16" s="22" t="inlineStr">
        <is>
          <t>27</t>
        </is>
      </c>
      <c r="E16" s="23" t="inlineStr">
        <is>
          <t>ACT</t>
        </is>
      </c>
      <c r="F16" s="24" t="inlineStr">
        <is>
          <t>JAC</t>
        </is>
      </c>
      <c r="G16" s="24" t="inlineStr">
        <is>
          <t>17</t>
        </is>
      </c>
      <c r="H16" s="25" t="n">
        <v>0.609</v>
      </c>
      <c r="I16" s="25" t="n"/>
      <c r="J16" s="25" t="n"/>
      <c r="K16" s="26" t="n"/>
      <c r="L16" s="25" t="n"/>
      <c r="M16" s="25" t="n">
        <v>0.5544</v>
      </c>
      <c r="N16" s="26" t="n">
        <v>4.01</v>
      </c>
      <c r="O16" s="25" t="n">
        <v>0.4818</v>
      </c>
      <c r="P16" s="25" t="n">
        <v>0.3182</v>
      </c>
      <c r="Q16" s="25" t="n">
        <v>0.09959999999999999</v>
      </c>
      <c r="R16" s="25" t="n">
        <v>0.0951</v>
      </c>
      <c r="S16" s="25" t="n">
        <v>0.729</v>
      </c>
      <c r="T16" s="26" t="n">
        <v>7.69</v>
      </c>
      <c r="U16" s="25" t="n">
        <v>0.1154</v>
      </c>
      <c r="V16" s="25" t="n">
        <v>0.2069</v>
      </c>
      <c r="W16" s="27" t="n">
        <v>17</v>
      </c>
      <c r="X16" s="28" t="n"/>
      <c r="Y16" s="28" t="n"/>
      <c r="Z16" s="28" t="n"/>
      <c r="AA16" s="28" t="n">
        <v>0.3951</v>
      </c>
      <c r="AB16" s="29" t="n">
        <v>3.95</v>
      </c>
      <c r="AC16" s="28" t="n">
        <v>0.187</v>
      </c>
      <c r="AD16" s="28" t="n">
        <v>0.1076</v>
      </c>
      <c r="AE16" s="28" t="n">
        <v>0.7292999999999999</v>
      </c>
      <c r="AF16" s="29" t="n">
        <v>7.68</v>
      </c>
      <c r="AG16" s="28" t="n">
        <v>0.1629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Alvin Kamara</t>
        </is>
      </c>
      <c r="C17" s="35" t="n">
        <v>2</v>
      </c>
      <c r="D17" s="35" t="inlineStr">
        <is>
          <t>31</t>
        </is>
      </c>
      <c r="E17" s="36" t="inlineStr">
        <is>
          <t>QUESTIONABLE</t>
        </is>
      </c>
      <c r="F17" s="24" t="inlineStr">
        <is>
          <t>NO</t>
        </is>
      </c>
      <c r="G17" s="24" t="inlineStr">
        <is>
          <t>11</t>
        </is>
      </c>
      <c r="H17" s="25" t="n">
        <v>0.656</v>
      </c>
      <c r="I17" s="25" t="n"/>
      <c r="J17" s="25" t="n"/>
      <c r="K17" s="26" t="n"/>
      <c r="L17" s="25" t="n"/>
      <c r="M17" s="25" t="n">
        <v>0.3068</v>
      </c>
      <c r="N17" s="26" t="n">
        <v>3.85</v>
      </c>
      <c r="O17" s="25" t="n">
        <v>0.2167</v>
      </c>
      <c r="P17" s="25" t="n">
        <v>0.1111</v>
      </c>
      <c r="Q17" s="25" t="n">
        <v>0.1721</v>
      </c>
      <c r="R17" s="25" t="n">
        <v>0.06900000000000001</v>
      </c>
      <c r="S17" s="25" t="n">
        <v>0.824</v>
      </c>
      <c r="T17" s="26" t="n">
        <v>6.56</v>
      </c>
      <c r="U17" s="25" t="n">
        <v>0.1163</v>
      </c>
      <c r="V17" s="25" t="n"/>
      <c r="W17" s="27" t="n">
        <v>17</v>
      </c>
      <c r="X17" s="28" t="n"/>
      <c r="Y17" s="28" t="n"/>
      <c r="Z17" s="28" t="n"/>
      <c r="AA17" s="28" t="n">
        <v>0.2324</v>
      </c>
      <c r="AB17" s="29" t="n">
        <v>3.92</v>
      </c>
      <c r="AC17" s="28" t="n">
        <v>0.1466</v>
      </c>
      <c r="AD17" s="28" t="n">
        <v>0.0838</v>
      </c>
      <c r="AE17" s="28" t="n">
        <v>0.8236</v>
      </c>
      <c r="AF17" s="29" t="n">
        <v>6.79</v>
      </c>
      <c r="AG17" s="28" t="n">
        <v>0.07340000000000001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Kendre Miller</t>
        </is>
      </c>
      <c r="C18" s="22" t="n">
        <v>3</v>
      </c>
      <c r="D18" s="22" t="inlineStr">
        <is>
          <t>24</t>
        </is>
      </c>
      <c r="E18" s="23" t="inlineStr">
        <is>
          <t>ACT</t>
        </is>
      </c>
      <c r="F18" s="24" t="inlineStr">
        <is>
          <t>NO</t>
        </is>
      </c>
      <c r="G18" s="24" t="inlineStr">
        <is>
          <t>7</t>
        </is>
      </c>
      <c r="H18" s="25" t="n">
        <v>0.246</v>
      </c>
      <c r="I18" s="25" t="n"/>
      <c r="J18" s="25" t="n"/>
      <c r="K18" s="26" t="n"/>
      <c r="L18" s="25" t="n"/>
      <c r="M18" s="25" t="n">
        <v>0.1101</v>
      </c>
      <c r="N18" s="26" t="n">
        <v>3.96</v>
      </c>
      <c r="O18" s="25" t="n">
        <v>0.0833</v>
      </c>
      <c r="P18" s="25" t="n">
        <v>0.1111</v>
      </c>
      <c r="Q18" s="25" t="n">
        <v>0.0155</v>
      </c>
      <c r="R18" s="25" t="n">
        <v>0.008800000000000001</v>
      </c>
      <c r="S18" s="25" t="n"/>
      <c r="T18" s="26" t="n"/>
      <c r="U18" s="25" t="n"/>
      <c r="V18" s="25" t="n"/>
      <c r="W18" s="27" t="n">
        <v>17</v>
      </c>
      <c r="X18" s="28" t="n"/>
      <c r="Y18" s="28" t="n"/>
      <c r="Z18" s="28" t="n"/>
      <c r="AA18" s="28" t="n">
        <v>0.081</v>
      </c>
      <c r="AB18" s="29" t="n">
        <v>3.91</v>
      </c>
      <c r="AC18" s="28" t="n">
        <v>0.0502</v>
      </c>
      <c r="AD18" s="28" t="n">
        <v>0.0148</v>
      </c>
      <c r="AE18" s="28" t="n">
        <v>0.8811</v>
      </c>
      <c r="AF18" s="29" t="n">
        <v>9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Audric Estime</t>
        </is>
      </c>
      <c r="C19" s="35" t="n">
        <v>4</v>
      </c>
      <c r="D19" s="35" t="inlineStr">
        <is>
          <t>22</t>
        </is>
      </c>
      <c r="E19" s="42" t="inlineStr">
        <is>
          <t>ACT</t>
        </is>
      </c>
      <c r="F19" s="24" t="inlineStr">
        <is>
          <t>NO</t>
        </is>
      </c>
      <c r="G19" s="24" t="inlineStr">
        <is>
          <t>7</t>
        </is>
      </c>
      <c r="H19" s="25" t="n">
        <v>0.349</v>
      </c>
      <c r="I19" s="25" t="n"/>
      <c r="J19" s="25" t="n"/>
      <c r="K19" s="26" t="n"/>
      <c r="L19" s="25" t="n"/>
      <c r="M19" s="25" t="n">
        <v>0.1077</v>
      </c>
      <c r="N19" s="26" t="n">
        <v>4.19</v>
      </c>
      <c r="O19" s="25" t="n">
        <v>0.0833</v>
      </c>
      <c r="P19" s="25" t="n">
        <v>0.1111</v>
      </c>
      <c r="Q19" s="25" t="n">
        <v>0.0091</v>
      </c>
      <c r="R19" s="25" t="n">
        <v>0.023</v>
      </c>
      <c r="S19" s="25" t="n"/>
      <c r="T19" s="26" t="n">
        <v>8.58</v>
      </c>
      <c r="U19" s="25" t="n"/>
      <c r="V19" s="25" t="n"/>
      <c r="W19" s="27" t="n">
        <v>17</v>
      </c>
      <c r="X19" s="28" t="n"/>
      <c r="Y19" s="28" t="n"/>
      <c r="Z19" s="28" t="n"/>
      <c r="AA19" s="28" t="n">
        <v>0.0566</v>
      </c>
      <c r="AB19" s="29" t="n">
        <v>4.16</v>
      </c>
      <c r="AC19" s="28" t="n">
        <v>0.0769</v>
      </c>
      <c r="AD19" s="28" t="n">
        <v>0.0109</v>
      </c>
      <c r="AE19" s="28" t="n">
        <v>0.9636</v>
      </c>
      <c r="AF19" s="29" t="n">
        <v>7.65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CJ Donaldson</t>
        </is>
      </c>
      <c r="C20" s="22" t="n">
        <v>5</v>
      </c>
      <c r="D20" s="22" t="inlineStr">
        <is>
          <t>22</t>
        </is>
      </c>
      <c r="E20" s="23" t="inlineStr">
        <is>
          <t>ACT</t>
        </is>
      </c>
      <c r="F20" s="24" t="inlineStr"/>
      <c r="G20" s="24" t="inlineStr"/>
      <c r="H20" s="25" t="n"/>
      <c r="I20" s="25" t="n"/>
      <c r="J20" s="25" t="n"/>
      <c r="K20" s="26" t="n"/>
      <c r="L20" s="25" t="n"/>
      <c r="M20" s="25" t="n"/>
      <c r="N20" s="26" t="n"/>
      <c r="O20" s="25" t="n"/>
      <c r="P20" s="25" t="n"/>
      <c r="Q20" s="25" t="n"/>
      <c r="R20" s="25" t="n"/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0.0166</v>
      </c>
      <c r="AB20" s="29" t="n">
        <v>4.13</v>
      </c>
      <c r="AC20" s="28" t="n"/>
      <c r="AD20" s="28" t="n">
        <v>0.0048</v>
      </c>
      <c r="AE20" s="28" t="n">
        <v>0.75</v>
      </c>
      <c r="AF20" s="29" t="n">
        <v>7.13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Chris Olave</t>
        </is>
      </c>
      <c r="C23" s="35" t="n">
        <v>1</v>
      </c>
      <c r="D23" s="35" t="inlineStr">
        <is>
          <t>26</t>
        </is>
      </c>
      <c r="E23" s="42" t="inlineStr">
        <is>
          <t>ACT</t>
        </is>
      </c>
      <c r="F23" s="24" t="inlineStr">
        <is>
          <t>NO</t>
        </is>
      </c>
      <c r="G23" s="24" t="inlineStr">
        <is>
          <t>16</t>
        </is>
      </c>
      <c r="H23" s="25" t="n">
        <v>0.754</v>
      </c>
      <c r="I23" s="25" t="n">
        <v>0.0017</v>
      </c>
      <c r="J23" s="25" t="n"/>
      <c r="K23" s="26" t="n"/>
      <c r="L23" s="25" t="n"/>
      <c r="M23" s="25" t="n">
        <v>0.0023</v>
      </c>
      <c r="N23" s="26" t="n"/>
      <c r="O23" s="25" t="n"/>
      <c r="P23" s="25" t="n"/>
      <c r="Q23" s="25" t="n">
        <v>0.0851</v>
      </c>
      <c r="R23" s="25" t="n">
        <v>0.2761</v>
      </c>
      <c r="S23" s="25" t="n">
        <v>0.654</v>
      </c>
      <c r="T23" s="26" t="n">
        <v>12.08</v>
      </c>
      <c r="U23" s="25" t="n">
        <v>0.3023</v>
      </c>
      <c r="V23" s="25" t="n">
        <v>0.4737</v>
      </c>
      <c r="W23" s="27" t="n">
        <v>17</v>
      </c>
      <c r="X23" s="28" t="n"/>
      <c r="Y23" s="28" t="n"/>
      <c r="Z23" s="28" t="n"/>
      <c r="AA23" s="28" t="n">
        <v>0.008800000000000001</v>
      </c>
      <c r="AB23" s="29" t="n">
        <v>2</v>
      </c>
      <c r="AC23" s="28" t="n"/>
      <c r="AD23" s="28" t="n">
        <v>0.2137</v>
      </c>
      <c r="AE23" s="28" t="n">
        <v>0.6538</v>
      </c>
      <c r="AF23" s="29" t="n">
        <v>12.26</v>
      </c>
      <c r="AG23" s="28" t="n">
        <v>0.3334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Devaughn Vele</t>
        </is>
      </c>
      <c r="C24" s="22" t="n">
        <v>2</v>
      </c>
      <c r="D24" s="22" t="inlineStr">
        <is>
          <t>28</t>
        </is>
      </c>
      <c r="E24" s="23" t="inlineStr">
        <is>
          <t>ACT</t>
        </is>
      </c>
      <c r="F24" s="24" t="inlineStr">
        <is>
          <t>NO</t>
        </is>
      </c>
      <c r="G24" s="24" t="inlineStr">
        <is>
          <t>13</t>
        </is>
      </c>
      <c r="H24" s="25" t="n">
        <v>0.513</v>
      </c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>
        <v>0.1002</v>
      </c>
      <c r="R24" s="25" t="n">
        <v>0.06900000000000001</v>
      </c>
      <c r="S24" s="25" t="n">
        <v>0.68</v>
      </c>
      <c r="T24" s="26" t="n">
        <v>11.67</v>
      </c>
      <c r="U24" s="25" t="n">
        <v>0.093</v>
      </c>
      <c r="V24" s="25" t="n">
        <v>0.1053</v>
      </c>
      <c r="W24" s="27" t="n">
        <v>17</v>
      </c>
      <c r="X24" s="28" t="n"/>
      <c r="Y24" s="28" t="n"/>
      <c r="Z24" s="28" t="n"/>
      <c r="AA24" s="28" t="n">
        <v>0.0008</v>
      </c>
      <c r="AB24" s="29" t="n"/>
      <c r="AC24" s="28" t="n"/>
      <c r="AD24" s="28" t="n">
        <v>0.06320000000000001</v>
      </c>
      <c r="AE24" s="28" t="n">
        <v>0.6802</v>
      </c>
      <c r="AF24" s="29" t="n">
        <v>11.64</v>
      </c>
      <c r="AG24" s="28" t="n">
        <v>0.1046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Bryce Lance</t>
        </is>
      </c>
      <c r="C25" s="35" t="n">
        <v>3</v>
      </c>
      <c r="D25" s="35" t="inlineStr">
        <is>
          <t>24</t>
        </is>
      </c>
      <c r="E25" s="42" t="inlineStr">
        <is>
          <t>ACT</t>
        </is>
      </c>
      <c r="F25" s="24" t="inlineStr"/>
      <c r="G25" s="24" t="inlineStr"/>
      <c r="H25" s="25" t="n"/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/>
      <c r="R25" s="25" t="n"/>
      <c r="S25" s="25" t="n"/>
      <c r="T25" s="26" t="n"/>
      <c r="U25" s="25" t="n"/>
      <c r="V25" s="25" t="n"/>
      <c r="W25" s="27" t="n">
        <v>17</v>
      </c>
      <c r="X25" s="28" t="n"/>
      <c r="Y25" s="28" t="n"/>
      <c r="Z25" s="28" t="n"/>
      <c r="AA25" s="28" t="n">
        <v>0.002</v>
      </c>
      <c r="AB25" s="29" t="n"/>
      <c r="AC25" s="28" t="n"/>
      <c r="AD25" s="28" t="n">
        <v>0.0285</v>
      </c>
      <c r="AE25" s="28" t="n">
        <v>0.65</v>
      </c>
      <c r="AF25" s="29" t="n">
        <v>12.84</v>
      </c>
      <c r="AG25" s="28" t="n"/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Kevin Austin</t>
        </is>
      </c>
      <c r="C26" s="22" t="n">
        <v>4</v>
      </c>
      <c r="D26" s="22" t="inlineStr">
        <is>
          <t>26</t>
        </is>
      </c>
      <c r="E26" s="23" t="inlineStr">
        <is>
          <t>ACT</t>
        </is>
      </c>
      <c r="F26" s="24" t="inlineStr">
        <is>
          <t>NO</t>
        </is>
      </c>
      <c r="G26" s="24" t="inlineStr">
        <is>
          <t>8</t>
        </is>
      </c>
      <c r="H26" s="25" t="n">
        <v>0.526</v>
      </c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>
        <v>0.0426</v>
      </c>
      <c r="R26" s="25" t="n">
        <v>0.0407</v>
      </c>
      <c r="S26" s="25" t="n">
        <v>0.541</v>
      </c>
      <c r="T26" s="26" t="n">
        <v>10.77</v>
      </c>
      <c r="U26" s="25" t="n">
        <v>0.0465</v>
      </c>
      <c r="V26" s="25" t="n">
        <v>0.0526</v>
      </c>
      <c r="W26" s="27" t="n">
        <v>17</v>
      </c>
      <c r="X26" s="28" t="n"/>
      <c r="Y26" s="28" t="n"/>
      <c r="Z26" s="28" t="n"/>
      <c r="AA26" s="28" t="n">
        <v>0.002</v>
      </c>
      <c r="AB26" s="29" t="n"/>
      <c r="AC26" s="28" t="n"/>
      <c r="AD26" s="28" t="n">
        <v>0.0408</v>
      </c>
      <c r="AE26" s="28" t="n">
        <v>0.5407999999999999</v>
      </c>
      <c r="AF26" s="29" t="n">
        <v>10.77</v>
      </c>
      <c r="AG26" s="28" t="n">
        <v>0.0526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Barion Brown</t>
        </is>
      </c>
      <c r="C27" s="35" t="n">
        <v>5</v>
      </c>
      <c r="D27" s="35" t="inlineStr">
        <is>
          <t>22</t>
        </is>
      </c>
      <c r="E27" s="42" t="inlineStr">
        <is>
          <t>ACT</t>
        </is>
      </c>
      <c r="F27" s="24" t="inlineStr"/>
      <c r="G27" s="24" t="inlineStr"/>
      <c r="H27" s="25" t="n"/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/>
      <c r="R27" s="25" t="n"/>
      <c r="S27" s="25" t="n"/>
      <c r="T27" s="26" t="n"/>
      <c r="U27" s="25" t="n"/>
      <c r="V27" s="25" t="n"/>
      <c r="W27" s="27" t="n">
        <v>17</v>
      </c>
      <c r="X27" s="28" t="n"/>
      <c r="Y27" s="28" t="n"/>
      <c r="Z27" s="28" t="n"/>
      <c r="AA27" s="28" t="n">
        <v>0.0018</v>
      </c>
      <c r="AB27" s="29" t="n"/>
      <c r="AC27" s="28" t="n"/>
      <c r="AD27" s="28" t="n">
        <v>0.0105</v>
      </c>
      <c r="AE27" s="28" t="n">
        <v>0.65</v>
      </c>
      <c r="AF27" s="29" t="n">
        <v>12.84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Mason Tipton</t>
        </is>
      </c>
      <c r="C28" s="22" t="n">
        <v>6</v>
      </c>
      <c r="D28" s="22" t="inlineStr">
        <is>
          <t>25</t>
        </is>
      </c>
      <c r="E28" s="41" t="inlineStr">
        <is>
          <t>PUP</t>
        </is>
      </c>
      <c r="F28" s="24" t="inlineStr">
        <is>
          <t>NO</t>
        </is>
      </c>
      <c r="G28" s="24" t="inlineStr">
        <is>
          <t>14</t>
        </is>
      </c>
      <c r="H28" s="25" t="n">
        <v>0.387</v>
      </c>
      <c r="I28" s="25" t="n"/>
      <c r="J28" s="25" t="n"/>
      <c r="K28" s="26" t="n"/>
      <c r="L28" s="25" t="n"/>
      <c r="M28" s="25" t="n">
        <v>0.0094</v>
      </c>
      <c r="N28" s="26" t="n"/>
      <c r="O28" s="25" t="n"/>
      <c r="P28" s="25" t="n"/>
      <c r="Q28" s="25" t="n">
        <v>0.0503</v>
      </c>
      <c r="R28" s="25" t="n">
        <v>0.0301</v>
      </c>
      <c r="S28" s="25" t="n">
        <v>0.612</v>
      </c>
      <c r="T28" s="26" t="n">
        <v>7.07</v>
      </c>
      <c r="U28" s="25" t="n">
        <v>0.0233</v>
      </c>
      <c r="V28" s="25" t="n"/>
      <c r="W28" s="27" t="n">
        <v>17</v>
      </c>
      <c r="X28" s="28" t="n"/>
      <c r="Y28" s="28" t="n"/>
      <c r="Z28" s="28" t="n"/>
      <c r="AA28" s="28" t="n">
        <v>0.0029</v>
      </c>
      <c r="AB28" s="29" t="n">
        <v>4.5</v>
      </c>
      <c r="AC28" s="28" t="n"/>
      <c r="AD28" s="28" t="n">
        <v>0.0268</v>
      </c>
      <c r="AE28" s="28" t="n">
        <v>0.6123</v>
      </c>
      <c r="AF28" s="29" t="n">
        <v>7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Trey Palmer</t>
        </is>
      </c>
      <c r="C29" s="35" t="n">
        <v>7</v>
      </c>
      <c r="D29" s="35" t="inlineStr">
        <is>
          <t>25</t>
        </is>
      </c>
      <c r="E29" s="42" t="inlineStr">
        <is>
          <t>ACT</t>
        </is>
      </c>
      <c r="F29" s="24" t="inlineStr"/>
      <c r="G29" s="24" t="inlineStr"/>
      <c r="H29" s="25" t="n">
        <v>0.438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>
        <v>0.0391</v>
      </c>
      <c r="R29" s="25" t="n"/>
      <c r="S29" s="25" t="n">
        <v>0.5580000000000001</v>
      </c>
      <c r="T29" s="26" t="n">
        <v>12.41</v>
      </c>
      <c r="U29" s="25" t="n"/>
      <c r="V29" s="25" t="n"/>
      <c r="W29" s="27" t="n">
        <v>17</v>
      </c>
      <c r="X29" s="28" t="n"/>
      <c r="Y29" s="28" t="n"/>
      <c r="Z29" s="28" t="n"/>
      <c r="AA29" s="28" t="n">
        <v>0.0045</v>
      </c>
      <c r="AB29" s="29" t="n"/>
      <c r="AC29" s="28" t="n"/>
      <c r="AD29" s="28" t="n">
        <v>0.049</v>
      </c>
      <c r="AE29" s="28" t="n">
        <v>0.5575</v>
      </c>
      <c r="AF29" s="29" t="n">
        <v>12.41</v>
      </c>
      <c r="AG29" s="28" t="n">
        <v>0.06</v>
      </c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Eldridge Massington</t>
        </is>
      </c>
      <c r="C30" s="22" t="n">
        <v>8</v>
      </c>
      <c r="D30" s="22" t="inlineStr">
        <is>
          <t>24</t>
        </is>
      </c>
      <c r="E30" s="23" t="inlineStr">
        <is>
          <t>ACT</t>
        </is>
      </c>
      <c r="F30" s="24" t="inlineStr"/>
      <c r="G30" s="24" t="inlineStr"/>
      <c r="H30" s="25" t="n"/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/>
      <c r="R30" s="25" t="n"/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0.0018</v>
      </c>
      <c r="AB30" s="29" t="n"/>
      <c r="AC30" s="28" t="n"/>
      <c r="AD30" s="28" t="n">
        <v>0.0105</v>
      </c>
      <c r="AE30" s="28" t="n">
        <v>0.65</v>
      </c>
      <c r="AF30" s="29" t="n">
        <v>12.84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Juwan Johnson</t>
        </is>
      </c>
      <c r="C32" s="22" t="n">
        <v>1</v>
      </c>
      <c r="D32" s="22" t="inlineStr">
        <is>
          <t>29</t>
        </is>
      </c>
      <c r="E32" s="23" t="inlineStr">
        <is>
          <t>ACT</t>
        </is>
      </c>
      <c r="F32" s="24" t="inlineStr">
        <is>
          <t>NO</t>
        </is>
      </c>
      <c r="G32" s="24" t="inlineStr">
        <is>
          <t>17</t>
        </is>
      </c>
      <c r="H32" s="25" t="n">
        <v>0.697</v>
      </c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>
        <v>0.1277</v>
      </c>
      <c r="R32" s="25" t="n">
        <v>0.1805</v>
      </c>
      <c r="S32" s="25" t="n">
        <v>0.735</v>
      </c>
      <c r="T32" s="26" t="n">
        <v>11.1</v>
      </c>
      <c r="U32" s="25" t="n">
        <v>0.186</v>
      </c>
      <c r="V32" s="25" t="n">
        <v>0.1579</v>
      </c>
      <c r="W32" s="27" t="n">
        <v>17</v>
      </c>
      <c r="X32" s="28" t="n"/>
      <c r="Y32" s="28" t="n"/>
      <c r="Z32" s="28" t="n"/>
      <c r="AA32" s="28" t="n">
        <v>0.0229</v>
      </c>
      <c r="AB32" s="29" t="n"/>
      <c r="AC32" s="28" t="n"/>
      <c r="AD32" s="28" t="n">
        <v>0.1402</v>
      </c>
      <c r="AE32" s="28" t="n">
        <v>0.7352</v>
      </c>
      <c r="AF32" s="29" t="n">
        <v>11.01</v>
      </c>
      <c r="AG32" s="28" t="n">
        <v>0.1527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Noah Fant</t>
        </is>
      </c>
      <c r="C33" s="35" t="n">
        <v>2</v>
      </c>
      <c r="D33" s="35" t="inlineStr">
        <is>
          <t>28</t>
        </is>
      </c>
      <c r="E33" s="42" t="inlineStr">
        <is>
          <t>ACT</t>
        </is>
      </c>
      <c r="F33" s="24" t="inlineStr">
        <is>
          <t>CIN</t>
        </is>
      </c>
      <c r="G33" s="24" t="inlineStr">
        <is>
          <t>15</t>
        </is>
      </c>
      <c r="H33" s="25" t="n">
        <v>0.488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0.1125</v>
      </c>
      <c r="R33" s="25" t="n">
        <v>0.0674</v>
      </c>
      <c r="S33" s="25" t="n">
        <v>0.788</v>
      </c>
      <c r="T33" s="26" t="n">
        <v>10.02</v>
      </c>
      <c r="U33" s="25" t="n">
        <v>0.0526</v>
      </c>
      <c r="V33" s="25" t="n">
        <v>0.0833</v>
      </c>
      <c r="W33" s="27" t="n">
        <v>17</v>
      </c>
      <c r="X33" s="28" t="n"/>
      <c r="Y33" s="28" t="n"/>
      <c r="Z33" s="28" t="n"/>
      <c r="AA33" s="28" t="n">
        <v>0.002</v>
      </c>
      <c r="AB33" s="29" t="n"/>
      <c r="AC33" s="28" t="n"/>
      <c r="AD33" s="28" t="n">
        <v>0.0512</v>
      </c>
      <c r="AE33" s="28" t="n">
        <v>0.7881</v>
      </c>
      <c r="AF33" s="29" t="n">
        <v>10.54</v>
      </c>
      <c r="AG33" s="28" t="n">
        <v>0.07140000000000001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Oscar Delp</t>
        </is>
      </c>
      <c r="C34" s="22" t="n">
        <v>3</v>
      </c>
      <c r="D34" s="22" t="inlineStr">
        <is>
          <t>23</t>
        </is>
      </c>
      <c r="E34" s="41" t="inlineStr">
        <is>
          <t>QUESTIONABLE</t>
        </is>
      </c>
      <c r="F34" s="24" t="inlineStr"/>
      <c r="G34" s="24" t="inlineStr"/>
      <c r="H34" s="25" t="n"/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/>
      <c r="R34" s="25" t="n"/>
      <c r="S34" s="25" t="n"/>
      <c r="T34" s="26" t="n"/>
      <c r="U34" s="25" t="n"/>
      <c r="V34" s="25" t="n"/>
      <c r="W34" s="27" t="n">
        <v>17</v>
      </c>
      <c r="X34" s="28" t="n"/>
      <c r="Y34" s="28" t="n"/>
      <c r="Z34" s="28" t="n"/>
      <c r="AA34" s="28" t="n">
        <v>0.002</v>
      </c>
      <c r="AB34" s="29" t="n"/>
      <c r="AC34" s="28" t="n"/>
      <c r="AD34" s="28" t="n">
        <v>0.0092</v>
      </c>
      <c r="AE34" s="28" t="n">
        <v>0.65</v>
      </c>
      <c r="AF34" s="29" t="n">
        <v>10.32</v>
      </c>
      <c r="AG34" s="28" t="n"/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Treyton Welch</t>
        </is>
      </c>
      <c r="C35" s="35" t="n">
        <v>4</v>
      </c>
      <c r="D35" s="35" t="inlineStr">
        <is>
          <t>25</t>
        </is>
      </c>
      <c r="E35" s="42" t="inlineStr">
        <is>
          <t>ACT</t>
        </is>
      </c>
      <c r="F35" s="24" t="inlineStr"/>
      <c r="G35" s="24" t="inlineStr"/>
      <c r="H35" s="25" t="n">
        <v>0.08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</v>
      </c>
      <c r="AB35" s="29" t="n"/>
      <c r="AC35" s="28" t="n"/>
      <c r="AD35" s="28" t="n">
        <v>0.0092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NYG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1065</v>
      </c>
      <c r="D4" s="10">
        <f>$C$4/$B$4</f>
        <v/>
      </c>
      <c r="E4" s="11" t="n">
        <v>0.5609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1085</v>
      </c>
      <c r="M4" s="14" t="n">
        <v>63.8235</v>
      </c>
      <c r="N4" s="15" t="n">
        <v>0.529</v>
      </c>
      <c r="O4" s="13" t="n">
        <v>526</v>
      </c>
      <c r="P4" s="13" t="n">
        <v>511</v>
      </c>
      <c r="Q4" s="16" t="n">
        <v>7.0399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39.1</v>
      </c>
      <c r="C7" s="11" t="n">
        <v>0.4444</v>
      </c>
      <c r="D7" s="10">
        <f>$B$7*$C$7</f>
        <v/>
      </c>
      <c r="E7" s="10">
        <f>$B$7-$D$7</f>
        <v/>
      </c>
      <c r="F7" s="12" t="n">
        <v>3682</v>
      </c>
      <c r="G7" s="12" t="n">
        <v>1995</v>
      </c>
      <c r="H7" s="12">
        <f>$F$7</f>
        <v/>
      </c>
      <c r="L7" s="13" t="n">
        <v>3703</v>
      </c>
      <c r="M7" s="13" t="n">
        <v>2195</v>
      </c>
      <c r="N7" s="14" t="n">
        <v>21</v>
      </c>
      <c r="O7" s="14" t="n">
        <v>22</v>
      </c>
      <c r="P7" s="14" t="n">
        <v>43</v>
      </c>
      <c r="Q7" s="15" t="n">
        <v>0.5116279069767442</v>
      </c>
    </row>
    <row r="8"/>
    <row r="9">
      <c r="A9" s="5" t="inlineStr">
        <is>
          <t>NOTES</t>
        </is>
      </c>
      <c r="B9" s="18" t="inlineStr">
        <is>
          <t>45% of targets and 4% of carries left this roster.  NEW HC John Harbaugh + OC Matt Nagy. More run emphasis expected; Nagy's historical results underwhelming.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Jaxson Dart</t>
        </is>
      </c>
      <c r="C12" s="22" t="n">
        <v>1</v>
      </c>
      <c r="D12" s="22" t="inlineStr">
        <is>
          <t>23</t>
        </is>
      </c>
      <c r="E12" s="23" t="inlineStr">
        <is>
          <t>ACT</t>
        </is>
      </c>
      <c r="F12" s="24" t="inlineStr">
        <is>
          <t>NYG</t>
        </is>
      </c>
      <c r="G12" s="24" t="inlineStr">
        <is>
          <t>14</t>
        </is>
      </c>
      <c r="H12" s="25" t="n">
        <v>0.836</v>
      </c>
      <c r="I12" s="25" t="n">
        <v>0.6445</v>
      </c>
      <c r="J12" s="25" t="n">
        <v>0.637</v>
      </c>
      <c r="K12" s="26" t="n">
        <v>6.7</v>
      </c>
      <c r="L12" s="25" t="n">
        <v>0.015</v>
      </c>
      <c r="M12" s="25" t="n">
        <v>0.1574</v>
      </c>
      <c r="N12" s="26" t="n">
        <v>6.16</v>
      </c>
      <c r="O12" s="25" t="n">
        <v>0.2188</v>
      </c>
      <c r="P12" s="25" t="n">
        <v>0.4091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0.593</v>
      </c>
      <c r="Y12" s="28" t="n">
        <v>0.637</v>
      </c>
      <c r="Z12" s="28" t="n">
        <v>0.015</v>
      </c>
      <c r="AA12" s="28" t="n">
        <v>0.1189</v>
      </c>
      <c r="AB12" s="29" t="n">
        <v>6.16</v>
      </c>
      <c r="AC12" s="28" t="n">
        <v>0.3158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Jameis Winston</t>
        </is>
      </c>
      <c r="C13" s="35" t="n">
        <v>2</v>
      </c>
      <c r="D13" s="35" t="inlineStr">
        <is>
          <t>32</t>
        </is>
      </c>
      <c r="E13" s="42" t="inlineStr">
        <is>
          <t>ACT</t>
        </is>
      </c>
      <c r="F13" s="24" t="inlineStr">
        <is>
          <t>NYG</t>
        </is>
      </c>
      <c r="G13" s="24" t="inlineStr">
        <is>
          <t>3</t>
        </is>
      </c>
      <c r="H13" s="25" t="n">
        <v>0.547</v>
      </c>
      <c r="I13" s="25" t="n">
        <v>0.1255</v>
      </c>
      <c r="J13" s="25" t="n">
        <v>0.583</v>
      </c>
      <c r="K13" s="26" t="n">
        <v>7.16</v>
      </c>
      <c r="L13" s="25" t="n">
        <v>0.043</v>
      </c>
      <c r="M13" s="25" t="n">
        <v>0.01</v>
      </c>
      <c r="N13" s="26" t="n">
        <v>3.46</v>
      </c>
      <c r="O13" s="25" t="n">
        <v>0.0208</v>
      </c>
      <c r="P13" s="25" t="n">
        <v>0.0455</v>
      </c>
      <c r="Q13" s="25" t="n"/>
      <c r="R13" s="25" t="n">
        <v>0.002</v>
      </c>
      <c r="S13" s="25" t="n"/>
      <c r="T13" s="26" t="n"/>
      <c r="U13" s="25" t="n"/>
      <c r="V13" s="25" t="n">
        <v>0.0476</v>
      </c>
      <c r="W13" s="27" t="n">
        <v>17</v>
      </c>
      <c r="X13" s="28" t="n">
        <v>0.2702</v>
      </c>
      <c r="Y13" s="28" t="n">
        <v>0.583</v>
      </c>
      <c r="Z13" s="28" t="n">
        <v>0.043</v>
      </c>
      <c r="AA13" s="28" t="n">
        <v>0.0331</v>
      </c>
      <c r="AB13" s="29" t="n">
        <v>3.45</v>
      </c>
      <c r="AC13" s="28" t="n">
        <v>0.0784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Clayton Thorson</t>
        </is>
      </c>
      <c r="C14" s="22" t="n">
        <v>3</v>
      </c>
      <c r="D14" s="22" t="inlineStr">
        <is>
          <t>26</t>
        </is>
      </c>
      <c r="E14" s="23" t="inlineStr">
        <is>
          <t>ACT</t>
        </is>
      </c>
      <c r="F14" s="24" t="inlineStr"/>
      <c r="G14" s="24" t="inlineStr"/>
      <c r="H14" s="25" t="n"/>
      <c r="I14" s="25" t="n"/>
      <c r="J14" s="25" t="n"/>
      <c r="K14" s="26" t="n"/>
      <c r="L14" s="25" t="n"/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0.1143</v>
      </c>
      <c r="Y14" s="28" t="n">
        <v>0.65</v>
      </c>
      <c r="Z14" s="28" t="n">
        <v>0.022</v>
      </c>
      <c r="AA14" s="28" t="n">
        <v>0.0193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Cam Skattebo</t>
        </is>
      </c>
      <c r="C16" s="22" t="n">
        <v>1</v>
      </c>
      <c r="D16" s="22" t="inlineStr">
        <is>
          <t>24</t>
        </is>
      </c>
      <c r="E16" s="23" t="inlineStr">
        <is>
          <t>ACT</t>
        </is>
      </c>
      <c r="F16" s="24" t="inlineStr">
        <is>
          <t>NYG</t>
        </is>
      </c>
      <c r="G16" s="24" t="inlineStr">
        <is>
          <t>8</t>
        </is>
      </c>
      <c r="H16" s="25" t="n">
        <v>0.523</v>
      </c>
      <c r="I16" s="25" t="n"/>
      <c r="J16" s="25" t="n"/>
      <c r="K16" s="26" t="n"/>
      <c r="L16" s="25" t="n"/>
      <c r="M16" s="25" t="n">
        <v>0.2012</v>
      </c>
      <c r="N16" s="26" t="n">
        <v>4.06</v>
      </c>
      <c r="O16" s="25" t="n">
        <v>0.2396</v>
      </c>
      <c r="P16" s="25" t="n">
        <v>0.2273</v>
      </c>
      <c r="Q16" s="25" t="n"/>
      <c r="R16" s="25" t="n">
        <v>0.0636</v>
      </c>
      <c r="S16" s="25" t="n">
        <v>0.75</v>
      </c>
      <c r="T16" s="26" t="n">
        <v>8.619999999999999</v>
      </c>
      <c r="U16" s="25" t="n">
        <v>0.0667</v>
      </c>
      <c r="V16" s="25" t="n">
        <v>0.09520000000000001</v>
      </c>
      <c r="W16" s="27" t="n">
        <v>17</v>
      </c>
      <c r="X16" s="28" t="n"/>
      <c r="Y16" s="28" t="n"/>
      <c r="Z16" s="28" t="n"/>
      <c r="AA16" s="28" t="n">
        <v>0.3745</v>
      </c>
      <c r="AB16" s="29" t="n">
        <v>4.06</v>
      </c>
      <c r="AC16" s="28" t="n">
        <v>0.1755</v>
      </c>
      <c r="AD16" s="28" t="n">
        <v>0.0677</v>
      </c>
      <c r="AE16" s="28" t="n">
        <v>0.75</v>
      </c>
      <c r="AF16" s="29" t="n">
        <v>8.619999999999999</v>
      </c>
      <c r="AG16" s="28" t="n">
        <v>0.0624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Tyrone Tracy</t>
        </is>
      </c>
      <c r="C17" s="35" t="n">
        <v>2</v>
      </c>
      <c r="D17" s="35" t="inlineStr">
        <is>
          <t>26</t>
        </is>
      </c>
      <c r="E17" s="36" t="inlineStr">
        <is>
          <t>QUESTIONABLE</t>
        </is>
      </c>
      <c r="F17" s="24" t="inlineStr">
        <is>
          <t>NYG</t>
        </is>
      </c>
      <c r="G17" s="24" t="inlineStr">
        <is>
          <t>15</t>
        </is>
      </c>
      <c r="H17" s="25" t="n">
        <v>0.555</v>
      </c>
      <c r="I17" s="25" t="n"/>
      <c r="J17" s="25" t="n"/>
      <c r="K17" s="26" t="n"/>
      <c r="L17" s="25" t="n"/>
      <c r="M17" s="25" t="n">
        <v>0.3506</v>
      </c>
      <c r="N17" s="26" t="n">
        <v>4.27</v>
      </c>
      <c r="O17" s="25" t="n">
        <v>0.2188</v>
      </c>
      <c r="P17" s="25" t="n">
        <v>0.09089999999999999</v>
      </c>
      <c r="Q17" s="25" t="n">
        <v>0.09569999999999999</v>
      </c>
      <c r="R17" s="25" t="n">
        <v>0.0954</v>
      </c>
      <c r="S17" s="25" t="n">
        <v>0.737</v>
      </c>
      <c r="T17" s="26" t="n">
        <v>7.79</v>
      </c>
      <c r="U17" s="25" t="n">
        <v>0.0667</v>
      </c>
      <c r="V17" s="25" t="n">
        <v>0.09520000000000001</v>
      </c>
      <c r="W17" s="27" t="n">
        <v>17</v>
      </c>
      <c r="X17" s="28" t="n"/>
      <c r="Y17" s="28" t="n"/>
      <c r="Z17" s="28" t="n"/>
      <c r="AA17" s="28" t="n">
        <v>0.2444</v>
      </c>
      <c r="AB17" s="29" t="n">
        <v>4.29</v>
      </c>
      <c r="AC17" s="28" t="n">
        <v>0.162</v>
      </c>
      <c r="AD17" s="28" t="n">
        <v>0.06569999999999999</v>
      </c>
      <c r="AE17" s="28" t="n">
        <v>0.7366</v>
      </c>
      <c r="AF17" s="29" t="n">
        <v>7.73</v>
      </c>
      <c r="AG17" s="28" t="n">
        <v>0.0549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Najee Harris</t>
        </is>
      </c>
      <c r="C18" s="22" t="n">
        <v>3</v>
      </c>
      <c r="D18" s="22" t="inlineStr">
        <is>
          <t>28</t>
        </is>
      </c>
      <c r="E18" s="23" t="inlineStr">
        <is>
          <t>ACT</t>
        </is>
      </c>
      <c r="F18" s="24" t="inlineStr">
        <is>
          <t>LAC</t>
        </is>
      </c>
      <c r="G18" s="24" t="inlineStr">
        <is>
          <t>3</t>
        </is>
      </c>
      <c r="H18" s="25" t="n">
        <v>0.364</v>
      </c>
      <c r="I18" s="25" t="n"/>
      <c r="J18" s="25" t="n"/>
      <c r="K18" s="26" t="n"/>
      <c r="L18" s="25" t="n"/>
      <c r="M18" s="25" t="n">
        <v>0.033</v>
      </c>
      <c r="N18" s="26" t="n">
        <v>4</v>
      </c>
      <c r="O18" s="25" t="n">
        <v>0.0145</v>
      </c>
      <c r="P18" s="25" t="n"/>
      <c r="Q18" s="25" t="n">
        <v>0.1043</v>
      </c>
      <c r="R18" s="25" t="n">
        <v>0.0055</v>
      </c>
      <c r="S18" s="25" t="n">
        <v>0.755</v>
      </c>
      <c r="T18" s="26" t="n">
        <v>7.06</v>
      </c>
      <c r="U18" s="25" t="n"/>
      <c r="V18" s="25" t="n"/>
      <c r="W18" s="27" t="n">
        <v>17</v>
      </c>
      <c r="X18" s="28" t="n"/>
      <c r="Y18" s="28" t="n"/>
      <c r="Z18" s="28" t="n"/>
      <c r="AA18" s="28" t="n">
        <v>0.0717</v>
      </c>
      <c r="AB18" s="29" t="n">
        <v>4.01</v>
      </c>
      <c r="AC18" s="28" t="n">
        <v>0.2608</v>
      </c>
      <c r="AD18" s="28" t="n">
        <v>0.0187</v>
      </c>
      <c r="AE18" s="28" t="n">
        <v>0.792</v>
      </c>
      <c r="AF18" s="29" t="n">
        <v>7.03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Devin Singletary</t>
        </is>
      </c>
      <c r="C19" s="35" t="n">
        <v>4</v>
      </c>
      <c r="D19" s="35" t="inlineStr">
        <is>
          <t>28</t>
        </is>
      </c>
      <c r="E19" s="42" t="inlineStr">
        <is>
          <t>ACT</t>
        </is>
      </c>
      <c r="F19" s="24" t="inlineStr">
        <is>
          <t>NYG</t>
        </is>
      </c>
      <c r="G19" s="24" t="inlineStr">
        <is>
          <t>17</t>
        </is>
      </c>
      <c r="H19" s="25" t="n">
        <v>0.367</v>
      </c>
      <c r="I19" s="25" t="n"/>
      <c r="J19" s="25" t="n"/>
      <c r="K19" s="26" t="n"/>
      <c r="L19" s="25" t="n"/>
      <c r="M19" s="25" t="n">
        <v>0.2371</v>
      </c>
      <c r="N19" s="26" t="n">
        <v>3.83</v>
      </c>
      <c r="O19" s="25" t="n">
        <v>0.2292</v>
      </c>
      <c r="P19" s="25" t="n">
        <v>0.2273</v>
      </c>
      <c r="Q19" s="25" t="n">
        <v>0.0433</v>
      </c>
      <c r="R19" s="25" t="n">
        <v>0.0378</v>
      </c>
      <c r="S19" s="25" t="n">
        <v>0.895</v>
      </c>
      <c r="T19" s="26" t="n">
        <v>7.24</v>
      </c>
      <c r="U19" s="25" t="n">
        <v>0.0333</v>
      </c>
      <c r="V19" s="25" t="n"/>
      <c r="W19" s="27" t="n">
        <v>17</v>
      </c>
      <c r="X19" s="28" t="n"/>
      <c r="Y19" s="28" t="n"/>
      <c r="Z19" s="28" t="n"/>
      <c r="AA19" s="28" t="n">
        <v>0.1413</v>
      </c>
      <c r="AB19" s="29" t="n">
        <v>3.96</v>
      </c>
      <c r="AC19" s="28" t="n">
        <v>0.2201</v>
      </c>
      <c r="AD19" s="28" t="n">
        <v>0.0308</v>
      </c>
      <c r="AE19" s="28" t="n">
        <v>0.8948</v>
      </c>
      <c r="AF19" s="29" t="n">
        <v>6.71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Eric Gray</t>
        </is>
      </c>
      <c r="C20" s="22" t="n">
        <v>5</v>
      </c>
      <c r="D20" s="22" t="inlineStr">
        <is>
          <t>26</t>
        </is>
      </c>
      <c r="E20" s="23" t="inlineStr">
        <is>
          <t>ACT</t>
        </is>
      </c>
      <c r="F20" s="24" t="inlineStr"/>
      <c r="G20" s="24" t="inlineStr"/>
      <c r="H20" s="25" t="n">
        <v>0.08699999999999999</v>
      </c>
      <c r="I20" s="25" t="n"/>
      <c r="J20" s="25" t="n"/>
      <c r="K20" s="26" t="n"/>
      <c r="L20" s="25" t="n"/>
      <c r="M20" s="25" t="n"/>
      <c r="N20" s="26" t="n"/>
      <c r="O20" s="25" t="n"/>
      <c r="P20" s="25" t="n"/>
      <c r="Q20" s="25" t="n">
        <v>0.0199</v>
      </c>
      <c r="R20" s="25" t="n"/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0.0255</v>
      </c>
      <c r="AB20" s="29" t="n">
        <v>2.55</v>
      </c>
      <c r="AC20" s="28" t="n"/>
      <c r="AD20" s="28" t="n">
        <v>0.0131</v>
      </c>
      <c r="AE20" s="28" t="n">
        <v>0.8915999999999999</v>
      </c>
      <c r="AF20" s="29" t="n">
        <v>6.5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inlineStr">
        <is>
          <t>Patrick Ricard</t>
        </is>
      </c>
      <c r="C21" s="35" t="n">
        <v>6</v>
      </c>
      <c r="D21" s="35" t="inlineStr">
        <is>
          <t>32</t>
        </is>
      </c>
      <c r="E21" s="42" t="inlineStr">
        <is>
          <t>ACT</t>
        </is>
      </c>
      <c r="F21" s="24" t="inlineStr">
        <is>
          <t>BAL</t>
        </is>
      </c>
      <c r="G21" s="24" t="inlineStr">
        <is>
          <t>11</t>
        </is>
      </c>
      <c r="H21" s="25" t="n">
        <v>0.402</v>
      </c>
      <c r="I21" s="25" t="n"/>
      <c r="J21" s="25" t="n"/>
      <c r="K21" s="26" t="n"/>
      <c r="L21" s="25" t="n"/>
      <c r="M21" s="25" t="n">
        <v>0.002</v>
      </c>
      <c r="N21" s="26" t="n"/>
      <c r="O21" s="25" t="n"/>
      <c r="P21" s="25" t="n"/>
      <c r="Q21" s="25" t="n">
        <v>0.0109</v>
      </c>
      <c r="R21" s="25" t="n">
        <v>0.0049</v>
      </c>
      <c r="S21" s="25" t="n"/>
      <c r="T21" s="26" t="n"/>
      <c r="U21" s="25" t="n"/>
      <c r="V21" s="25" t="n"/>
      <c r="W21" s="27" t="n">
        <v>17</v>
      </c>
      <c r="X21" s="28" t="n"/>
      <c r="Y21" s="28" t="n"/>
      <c r="Z21" s="28" t="n"/>
      <c r="AA21" s="28" t="n">
        <v>0.003</v>
      </c>
      <c r="AB21" s="29" t="n">
        <v>4.13</v>
      </c>
      <c r="AC21" s="28" t="n"/>
      <c r="AD21" s="28" t="n">
        <v>0.0032</v>
      </c>
      <c r="AE21" s="28" t="n">
        <v>0.5885</v>
      </c>
      <c r="AF21" s="29" t="n">
        <v>7.13</v>
      </c>
      <c r="AG21" s="28" t="n">
        <v>0.0219</v>
      </c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Malik Nabers</t>
        </is>
      </c>
      <c r="C23" s="35" t="n">
        <v>1</v>
      </c>
      <c r="D23" s="35" t="inlineStr">
        <is>
          <t>23</t>
        </is>
      </c>
      <c r="E23" s="36" t="inlineStr">
        <is>
          <t>QUESTIONABLE</t>
        </is>
      </c>
      <c r="F23" s="24" t="inlineStr">
        <is>
          <t>NYG</t>
        </is>
      </c>
      <c r="G23" s="24" t="inlineStr">
        <is>
          <t>4</t>
        </is>
      </c>
      <c r="H23" s="25" t="n">
        <v>0.837</v>
      </c>
      <c r="I23" s="25" t="n"/>
      <c r="J23" s="25" t="n"/>
      <c r="K23" s="26" t="n"/>
      <c r="L23" s="25" t="n"/>
      <c r="M23" s="25" t="n"/>
      <c r="N23" s="26" t="n"/>
      <c r="O23" s="25" t="n"/>
      <c r="P23" s="25" t="n"/>
      <c r="Q23" s="25" t="n">
        <v>0.3069</v>
      </c>
      <c r="R23" s="25" t="n">
        <v>0.0696</v>
      </c>
      <c r="S23" s="25" t="n">
        <v>0.602</v>
      </c>
      <c r="T23" s="26" t="n">
        <v>12.28</v>
      </c>
      <c r="U23" s="25" t="n">
        <v>0.05</v>
      </c>
      <c r="V23" s="25" t="n">
        <v>0.09520000000000001</v>
      </c>
      <c r="W23" s="27" t="n">
        <v>17</v>
      </c>
      <c r="X23" s="28" t="n"/>
      <c r="Y23" s="28" t="n"/>
      <c r="Z23" s="28" t="n"/>
      <c r="AA23" s="28" t="n">
        <v>0.0114</v>
      </c>
      <c r="AB23" s="29" t="n"/>
      <c r="AC23" s="28" t="n"/>
      <c r="AD23" s="28" t="n">
        <v>0.2029</v>
      </c>
      <c r="AE23" s="28" t="n">
        <v>0.6021</v>
      </c>
      <c r="AF23" s="29" t="n">
        <v>11.61</v>
      </c>
      <c r="AG23" s="28" t="n">
        <v>0.2311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Darius Slayton</t>
        </is>
      </c>
      <c r="C24" s="22" t="n">
        <v>2</v>
      </c>
      <c r="D24" s="22" t="inlineStr">
        <is>
          <t>29</t>
        </is>
      </c>
      <c r="E24" s="23" t="inlineStr">
        <is>
          <t>ACT</t>
        </is>
      </c>
      <c r="F24" s="24" t="inlineStr">
        <is>
          <t>NYG</t>
        </is>
      </c>
      <c r="G24" s="24" t="inlineStr">
        <is>
          <t>14</t>
        </is>
      </c>
      <c r="H24" s="25" t="n">
        <v>0.8169999999999999</v>
      </c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>
        <v>0.1282</v>
      </c>
      <c r="R24" s="25" t="n">
        <v>0.1252</v>
      </c>
      <c r="S24" s="25" t="n">
        <v>0.586</v>
      </c>
      <c r="T24" s="26" t="n">
        <v>14.78</v>
      </c>
      <c r="U24" s="25" t="n">
        <v>0.1</v>
      </c>
      <c r="V24" s="25" t="n">
        <v>0.0476</v>
      </c>
      <c r="W24" s="27" t="n">
        <v>17</v>
      </c>
      <c r="X24" s="28" t="n"/>
      <c r="Y24" s="28" t="n"/>
      <c r="Z24" s="28" t="n"/>
      <c r="AA24" s="28" t="n">
        <v>0.004</v>
      </c>
      <c r="AB24" s="29" t="n"/>
      <c r="AC24" s="28" t="n"/>
      <c r="AD24" s="28" t="n">
        <v>0.102</v>
      </c>
      <c r="AE24" s="28" t="n">
        <v>0.5855</v>
      </c>
      <c r="AF24" s="29" t="n">
        <v>14.93</v>
      </c>
      <c r="AG24" s="28" t="n">
        <v>0.08110000000000001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Malachi Fields</t>
        </is>
      </c>
      <c r="C25" s="35" t="n">
        <v>3</v>
      </c>
      <c r="D25" s="35" t="inlineStr">
        <is>
          <t>23</t>
        </is>
      </c>
      <c r="E25" s="42" t="inlineStr">
        <is>
          <t>ACT</t>
        </is>
      </c>
      <c r="F25" s="24" t="inlineStr"/>
      <c r="G25" s="24" t="inlineStr"/>
      <c r="H25" s="25" t="n"/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/>
      <c r="R25" s="25" t="n"/>
      <c r="S25" s="25" t="n"/>
      <c r="T25" s="26" t="n"/>
      <c r="U25" s="25" t="n"/>
      <c r="V25" s="25" t="n"/>
      <c r="W25" s="27" t="n">
        <v>17</v>
      </c>
      <c r="X25" s="28" t="n"/>
      <c r="Y25" s="28" t="n"/>
      <c r="Z25" s="28" t="n"/>
      <c r="AA25" s="28" t="n">
        <v>0.0018</v>
      </c>
      <c r="AB25" s="29" t="n"/>
      <c r="AC25" s="28" t="n"/>
      <c r="AD25" s="28" t="n">
        <v>0.0207</v>
      </c>
      <c r="AE25" s="28" t="n">
        <v>0.65</v>
      </c>
      <c r="AF25" s="29" t="n">
        <v>12.84</v>
      </c>
      <c r="AG25" s="28" t="n"/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Darnell Mooney</t>
        </is>
      </c>
      <c r="C26" s="22" t="n">
        <v>4</v>
      </c>
      <c r="D26" s="22" t="inlineStr">
        <is>
          <t>28</t>
        </is>
      </c>
      <c r="E26" s="23" t="inlineStr">
        <is>
          <t>ACT</t>
        </is>
      </c>
      <c r="F26" s="24" t="inlineStr">
        <is>
          <t>ATL</t>
        </is>
      </c>
      <c r="G26" s="24" t="inlineStr">
        <is>
          <t>15</t>
        </is>
      </c>
      <c r="H26" s="25" t="n">
        <v>0.837</v>
      </c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>
        <v>0.1967</v>
      </c>
      <c r="R26" s="25" t="n">
        <v>0.1387</v>
      </c>
      <c r="S26" s="25" t="n">
        <v>0.507</v>
      </c>
      <c r="T26" s="26" t="n">
        <v>14.27</v>
      </c>
      <c r="U26" s="25" t="n">
        <v>0.125</v>
      </c>
      <c r="V26" s="25" t="n">
        <v>0.0526</v>
      </c>
      <c r="W26" s="27" t="n">
        <v>17</v>
      </c>
      <c r="X26" s="28" t="n"/>
      <c r="Y26" s="28" t="n"/>
      <c r="Z26" s="28" t="n"/>
      <c r="AA26" s="28" t="n">
        <v>0.0051</v>
      </c>
      <c r="AB26" s="29" t="n">
        <v>2.5</v>
      </c>
      <c r="AC26" s="28" t="n"/>
      <c r="AD26" s="28" t="n">
        <v>0.1393</v>
      </c>
      <c r="AE26" s="28" t="n">
        <v>0.5069</v>
      </c>
      <c r="AF26" s="29" t="n">
        <v>14.56</v>
      </c>
      <c r="AG26" s="28" t="n">
        <v>0.0727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Odell Beckham</t>
        </is>
      </c>
      <c r="C27" s="35" t="n">
        <v>5</v>
      </c>
      <c r="D27" s="35" t="inlineStr">
        <is>
          <t>33</t>
        </is>
      </c>
      <c r="E27" s="42" t="inlineStr">
        <is>
          <t>ACT</t>
        </is>
      </c>
      <c r="F27" s="24" t="inlineStr"/>
      <c r="G27" s="24" t="inlineStr"/>
      <c r="H27" s="25" t="n">
        <v>0.319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>
        <v>0.0317</v>
      </c>
      <c r="R27" s="25" t="n"/>
      <c r="S27" s="25" t="n">
        <v>0.524</v>
      </c>
      <c r="T27" s="26" t="n">
        <v>16.14</v>
      </c>
      <c r="U27" s="25" t="n"/>
      <c r="V27" s="25" t="n"/>
      <c r="W27" s="27" t="n">
        <v>17</v>
      </c>
      <c r="X27" s="28" t="n"/>
      <c r="Y27" s="28" t="n"/>
      <c r="Z27" s="28" t="n"/>
      <c r="AA27" s="28" t="n">
        <v>0.0008</v>
      </c>
      <c r="AB27" s="29" t="n"/>
      <c r="AC27" s="28" t="n"/>
      <c r="AD27" s="28" t="n">
        <v>0.0525</v>
      </c>
      <c r="AE27" s="28" t="n">
        <v>0.5239</v>
      </c>
      <c r="AF27" s="29" t="n">
        <v>14.09</v>
      </c>
      <c r="AG27" s="28" t="n">
        <v>0.07290000000000001</v>
      </c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Xavier Gipson</t>
        </is>
      </c>
      <c r="C28" s="22" t="n">
        <v>6</v>
      </c>
      <c r="D28" s="22" t="inlineStr">
        <is>
          <t>25</t>
        </is>
      </c>
      <c r="E28" s="23" t="inlineStr">
        <is>
          <t>ACT</t>
        </is>
      </c>
      <c r="F28" s="24" t="inlineStr">
        <is>
          <t>PHI</t>
        </is>
      </c>
      <c r="G28" s="24" t="inlineStr">
        <is>
          <t>5</t>
        </is>
      </c>
      <c r="H28" s="25" t="n">
        <v>0.181</v>
      </c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>
        <v>0.017</v>
      </c>
      <c r="R28" s="25" t="n">
        <v>0.0043</v>
      </c>
      <c r="S28" s="25" t="n">
        <v>0.553</v>
      </c>
      <c r="T28" s="26" t="n">
        <v>10.9</v>
      </c>
      <c r="U28" s="25" t="n">
        <v>0.0185</v>
      </c>
      <c r="V28" s="25" t="n"/>
      <c r="W28" s="27" t="n">
        <v>17</v>
      </c>
      <c r="X28" s="28" t="n"/>
      <c r="Y28" s="28" t="n"/>
      <c r="Z28" s="28" t="n"/>
      <c r="AA28" s="28" t="n">
        <v>0.0019</v>
      </c>
      <c r="AB28" s="29" t="n"/>
      <c r="AC28" s="28" t="n">
        <v>0.078</v>
      </c>
      <c r="AD28" s="28" t="n">
        <v>0.0219</v>
      </c>
      <c r="AE28" s="28" t="n">
        <v>0.6763</v>
      </c>
      <c r="AF28" s="29" t="n">
        <v>10.9</v>
      </c>
      <c r="AG28" s="28" t="n">
        <v>0.024</v>
      </c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Dalen Cambre</t>
        </is>
      </c>
      <c r="C29" s="35" t="n">
        <v>7</v>
      </c>
      <c r="D29" s="35" t="inlineStr">
        <is>
          <t>25</t>
        </is>
      </c>
      <c r="E29" s="42" t="inlineStr">
        <is>
          <t>ACT</t>
        </is>
      </c>
      <c r="F29" s="24" t="inlineStr"/>
      <c r="G29" s="24" t="inlineStr"/>
      <c r="H29" s="25" t="n">
        <v>0.046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/>
      <c r="R29" s="25" t="n"/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0.002</v>
      </c>
      <c r="AB29" s="29" t="n"/>
      <c r="AC29" s="28" t="n"/>
      <c r="AD29" s="28" t="n">
        <v>0.0121</v>
      </c>
      <c r="AE29" s="28" t="n">
        <v>0.65</v>
      </c>
      <c r="AF29" s="29" t="n">
        <v>12.84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40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Isaiah Likely</t>
        </is>
      </c>
      <c r="C32" s="22" t="n">
        <v>1</v>
      </c>
      <c r="D32" s="22" t="inlineStr">
        <is>
          <t>26</t>
        </is>
      </c>
      <c r="E32" s="23" t="inlineStr">
        <is>
          <t>ACT</t>
        </is>
      </c>
      <c r="F32" s="24" t="inlineStr">
        <is>
          <t>BAL</t>
        </is>
      </c>
      <c r="G32" s="24" t="inlineStr">
        <is>
          <t>14</t>
        </is>
      </c>
      <c r="H32" s="25" t="n">
        <v>0.545</v>
      </c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>
        <v>0.1269</v>
      </c>
      <c r="R32" s="25" t="n">
        <v>0.0885</v>
      </c>
      <c r="S32" s="25" t="n">
        <v>0.742</v>
      </c>
      <c r="T32" s="26" t="n">
        <v>11.89</v>
      </c>
      <c r="U32" s="25" t="n">
        <v>0.1154</v>
      </c>
      <c r="V32" s="25" t="n">
        <v>0.0435</v>
      </c>
      <c r="W32" s="27" t="n">
        <v>17</v>
      </c>
      <c r="X32" s="28" t="n"/>
      <c r="Y32" s="28" t="n"/>
      <c r="Z32" s="28" t="n"/>
      <c r="AA32" s="28" t="n">
        <v>0.0022</v>
      </c>
      <c r="AB32" s="29" t="n"/>
      <c r="AC32" s="28" t="n"/>
      <c r="AD32" s="28" t="n">
        <v>0.1181</v>
      </c>
      <c r="AE32" s="28" t="n">
        <v>0.7418</v>
      </c>
      <c r="AF32" s="29" t="n">
        <v>12.07</v>
      </c>
      <c r="AG32" s="28" t="n">
        <v>0.0706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Theo Johnson</t>
        </is>
      </c>
      <c r="C33" s="35" t="n">
        <v>2</v>
      </c>
      <c r="D33" s="35" t="inlineStr">
        <is>
          <t>25</t>
        </is>
      </c>
      <c r="E33" s="36" t="inlineStr">
        <is>
          <t>QUESTIONABLE</t>
        </is>
      </c>
      <c r="F33" s="24" t="inlineStr">
        <is>
          <t>NYG</t>
        </is>
      </c>
      <c r="G33" s="24" t="inlineStr">
        <is>
          <t>15</t>
        </is>
      </c>
      <c r="H33" s="25" t="n">
        <v>0.858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0.0776</v>
      </c>
      <c r="R33" s="25" t="n">
        <v>0.1471</v>
      </c>
      <c r="S33" s="25" t="n">
        <v>0.63</v>
      </c>
      <c r="T33" s="26" t="n">
        <v>11.63</v>
      </c>
      <c r="U33" s="25" t="n">
        <v>0.2167</v>
      </c>
      <c r="V33" s="25" t="n">
        <v>0.2381</v>
      </c>
      <c r="W33" s="27" t="n">
        <v>17</v>
      </c>
      <c r="X33" s="28" t="n"/>
      <c r="Y33" s="28" t="n"/>
      <c r="Z33" s="28" t="n"/>
      <c r="AA33" s="28" t="n">
        <v>0.0008</v>
      </c>
      <c r="AB33" s="29" t="n"/>
      <c r="AC33" s="28" t="n"/>
      <c r="AD33" s="28" t="n">
        <v>0.0808</v>
      </c>
      <c r="AE33" s="28" t="n">
        <v>0.6296</v>
      </c>
      <c r="AF33" s="29" t="n">
        <v>11.61</v>
      </c>
      <c r="AG33" s="28" t="n">
        <v>0.1197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Chris Manhertz</t>
        </is>
      </c>
      <c r="C34" s="22" t="n">
        <v>3</v>
      </c>
      <c r="D34" s="22" t="inlineStr">
        <is>
          <t>34</t>
        </is>
      </c>
      <c r="E34" s="23" t="inlineStr">
        <is>
          <t>ACT</t>
        </is>
      </c>
      <c r="F34" s="24" t="inlineStr">
        <is>
          <t>NYG</t>
        </is>
      </c>
      <c r="G34" s="24" t="inlineStr">
        <is>
          <t>17</t>
        </is>
      </c>
      <c r="H34" s="25" t="n">
        <v>0.254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0.0072</v>
      </c>
      <c r="R34" s="25" t="n">
        <v>0.004</v>
      </c>
      <c r="S34" s="25" t="n"/>
      <c r="T34" s="26" t="n"/>
      <c r="U34" s="25" t="n">
        <v>0.0167</v>
      </c>
      <c r="V34" s="25" t="n"/>
      <c r="W34" s="27" t="n">
        <v>17</v>
      </c>
      <c r="X34" s="28" t="n"/>
      <c r="Y34" s="28" t="n"/>
      <c r="Z34" s="28" t="n"/>
      <c r="AA34" s="28" t="n">
        <v>0.0008</v>
      </c>
      <c r="AB34" s="29" t="n"/>
      <c r="AC34" s="28" t="n"/>
      <c r="AD34" s="28" t="n">
        <v>0.0056</v>
      </c>
      <c r="AE34" s="28" t="n">
        <v>0.5759</v>
      </c>
      <c r="AF34" s="29" t="n">
        <v>8.83</v>
      </c>
      <c r="AG34" s="28" t="n">
        <v>0.0425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Thomas Fidone</t>
        </is>
      </c>
      <c r="C35" s="35" t="n">
        <v>4</v>
      </c>
      <c r="D35" s="35" t="inlineStr">
        <is>
          <t>23</t>
        </is>
      </c>
      <c r="E35" s="42" t="inlineStr">
        <is>
          <t>ACT</t>
        </is>
      </c>
      <c r="F35" s="24" t="inlineStr"/>
      <c r="G35" s="24" t="inlineStr"/>
      <c r="H35" s="25" t="n">
        <v>0.115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</v>
      </c>
      <c r="AB35" s="29" t="n"/>
      <c r="AC35" s="28" t="n"/>
      <c r="AD35" s="28" t="n">
        <v>0.006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NYJ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1032</v>
      </c>
      <c r="D4" s="10">
        <f>$C$4/$B$4</f>
        <v/>
      </c>
      <c r="E4" s="11" t="n">
        <v>0.5847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1010</v>
      </c>
      <c r="M4" s="14" t="n">
        <v>59.4118</v>
      </c>
      <c r="N4" s="15" t="n">
        <v>0.5485</v>
      </c>
      <c r="O4" s="13" t="n">
        <v>494</v>
      </c>
      <c r="P4" s="13" t="n">
        <v>456</v>
      </c>
      <c r="Q4" s="16" t="n">
        <v>5.6356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32.9</v>
      </c>
      <c r="C7" s="11" t="n">
        <v>0.3438</v>
      </c>
      <c r="D7" s="10">
        <f>$B$7*$C$7</f>
        <v/>
      </c>
      <c r="E7" s="10">
        <f>$B$7-$D$7</f>
        <v/>
      </c>
      <c r="F7" s="12" t="n">
        <v>3457</v>
      </c>
      <c r="G7" s="12" t="n">
        <v>1886</v>
      </c>
      <c r="H7" s="12">
        <f>$F$7</f>
        <v/>
      </c>
      <c r="L7" s="13" t="n">
        <v>2784</v>
      </c>
      <c r="M7" s="13" t="n">
        <v>2096</v>
      </c>
      <c r="N7" s="14" t="n">
        <v>15</v>
      </c>
      <c r="O7" s="14" t="n">
        <v>11</v>
      </c>
      <c r="P7" s="14" t="n">
        <v>26</v>
      </c>
      <c r="Q7" s="15" t="n">
        <v>0.4230769230769231</v>
      </c>
    </row>
    <row r="8"/>
    <row r="9">
      <c r="A9" s="5" t="inlineStr">
        <is>
          <t>NOTES</t>
        </is>
      </c>
      <c r="B9" s="18" t="inlineStr">
        <is>
          <t>15% of targets and 24% of carries left this roster.  HC unchanged. OC Frank Reich. Offense starts with the run game.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Geno Smith</t>
        </is>
      </c>
      <c r="C12" s="22" t="n">
        <v>1</v>
      </c>
      <c r="D12" s="22" t="inlineStr">
        <is>
          <t>35</t>
        </is>
      </c>
      <c r="E12" s="23" t="inlineStr">
        <is>
          <t>ACT</t>
        </is>
      </c>
      <c r="F12" s="24" t="inlineStr">
        <is>
          <t>LV</t>
        </is>
      </c>
      <c r="G12" s="24" t="inlineStr">
        <is>
          <t>15</t>
        </is>
      </c>
      <c r="H12" s="25" t="n">
        <v>0.969</v>
      </c>
      <c r="I12" s="25" t="n">
        <v>0.8699</v>
      </c>
      <c r="J12" s="25" t="n">
        <v>0.679</v>
      </c>
      <c r="K12" s="26" t="n">
        <v>7.09</v>
      </c>
      <c r="L12" s="25" t="n">
        <v>0.03</v>
      </c>
      <c r="M12" s="25" t="n">
        <v>0.0964</v>
      </c>
      <c r="N12" s="26" t="n">
        <v>4.78</v>
      </c>
      <c r="O12" s="25" t="n">
        <v>0.1463</v>
      </c>
      <c r="P12" s="25" t="n"/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0.6161</v>
      </c>
      <c r="Y12" s="28" t="n">
        <v>0.679</v>
      </c>
      <c r="Z12" s="28" t="n">
        <v>0.03</v>
      </c>
      <c r="AA12" s="28" t="n">
        <v>0.0867</v>
      </c>
      <c r="AB12" s="29" t="n">
        <v>5.2</v>
      </c>
      <c r="AC12" s="28" t="n">
        <v>0.1044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Cade Klubnik</t>
        </is>
      </c>
      <c r="C13" s="35" t="n">
        <v>2</v>
      </c>
      <c r="D13" s="35" t="inlineStr">
        <is>
          <t>22</t>
        </is>
      </c>
      <c r="E13" s="42" t="inlineStr">
        <is>
          <t>ACT</t>
        </is>
      </c>
      <c r="F13" s="24" t="inlineStr"/>
      <c r="G13" s="24" t="inlineStr"/>
      <c r="H13" s="25" t="n"/>
      <c r="I13" s="25" t="n"/>
      <c r="J13" s="25" t="n"/>
      <c r="K13" s="26" t="n"/>
      <c r="L13" s="25" t="n"/>
      <c r="M13" s="25" t="n"/>
      <c r="N13" s="26" t="n"/>
      <c r="O13" s="25" t="n"/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0.1198</v>
      </c>
      <c r="Y13" s="28" t="n">
        <v>0.65</v>
      </c>
      <c r="Z13" s="28" t="n">
        <v>0.022</v>
      </c>
      <c r="AA13" s="28" t="n">
        <v>0.0231</v>
      </c>
      <c r="AB13" s="29" t="n">
        <v>4.5</v>
      </c>
      <c r="AC13" s="28" t="n"/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Brady Cook</t>
        </is>
      </c>
      <c r="C14" s="22" t="n">
        <v>3</v>
      </c>
      <c r="D14" s="22" t="inlineStr">
        <is>
          <t>24</t>
        </is>
      </c>
      <c r="E14" s="23" t="inlineStr">
        <is>
          <t>ACT</t>
        </is>
      </c>
      <c r="F14" s="24" t="inlineStr">
        <is>
          <t>NYJ</t>
        </is>
      </c>
      <c r="G14" s="24" t="inlineStr">
        <is>
          <t>5</t>
        </is>
      </c>
      <c r="H14" s="25" t="n">
        <v>0.98</v>
      </c>
      <c r="I14" s="25" t="n">
        <v>0.3097</v>
      </c>
      <c r="J14" s="25" t="n">
        <v>0.575</v>
      </c>
      <c r="K14" s="26" t="n">
        <v>4.83</v>
      </c>
      <c r="L14" s="25" t="n">
        <v>0.046</v>
      </c>
      <c r="M14" s="25" t="n">
        <v>0.0289</v>
      </c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0.2475</v>
      </c>
      <c r="Y14" s="28" t="n">
        <v>0.575</v>
      </c>
      <c r="Z14" s="28" t="n">
        <v>0.046</v>
      </c>
      <c r="AA14" s="28" t="n">
        <v>0.0223</v>
      </c>
      <c r="AB14" s="29" t="n">
        <v>3.77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Breece Hall</t>
        </is>
      </c>
      <c r="C16" s="22" t="n">
        <v>1</v>
      </c>
      <c r="D16" s="22" t="inlineStr">
        <is>
          <t>25</t>
        </is>
      </c>
      <c r="E16" s="41" t="inlineStr">
        <is>
          <t>QUESTIONABLE</t>
        </is>
      </c>
      <c r="F16" s="24" t="inlineStr">
        <is>
          <t>NYJ</t>
        </is>
      </c>
      <c r="G16" s="24" t="inlineStr">
        <is>
          <t>16</t>
        </is>
      </c>
      <c r="H16" s="25" t="n">
        <v>0.657</v>
      </c>
      <c r="I16" s="25" t="n">
        <v>0.002</v>
      </c>
      <c r="J16" s="25" t="n"/>
      <c r="K16" s="26" t="n"/>
      <c r="L16" s="25" t="n"/>
      <c r="M16" s="25" t="n">
        <v>0.54</v>
      </c>
      <c r="N16" s="26" t="n">
        <v>4.34</v>
      </c>
      <c r="O16" s="25" t="n">
        <v>0.3962</v>
      </c>
      <c r="P16" s="25" t="n">
        <v>0.3636</v>
      </c>
      <c r="Q16" s="25" t="n">
        <v>0.129</v>
      </c>
      <c r="R16" s="25" t="n">
        <v>0.1017</v>
      </c>
      <c r="S16" s="25" t="n">
        <v>0.76</v>
      </c>
      <c r="T16" s="26" t="n">
        <v>8.94</v>
      </c>
      <c r="U16" s="25" t="n">
        <v>0.1702</v>
      </c>
      <c r="V16" s="25" t="n">
        <v>0.0667</v>
      </c>
      <c r="W16" s="27" t="n">
        <v>17</v>
      </c>
      <c r="X16" s="28" t="n"/>
      <c r="Y16" s="28" t="n"/>
      <c r="Z16" s="28" t="n"/>
      <c r="AA16" s="28" t="n">
        <v>0.5273</v>
      </c>
      <c r="AB16" s="29" t="n">
        <v>4.35</v>
      </c>
      <c r="AC16" s="28" t="n">
        <v>0.4988</v>
      </c>
      <c r="AD16" s="28" t="n">
        <v>0.1105</v>
      </c>
      <c r="AE16" s="28" t="n">
        <v>0.7605</v>
      </c>
      <c r="AF16" s="29" t="n">
        <v>8.43</v>
      </c>
      <c r="AG16" s="28" t="n">
        <v>0.148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Braelon Allen</t>
        </is>
      </c>
      <c r="C17" s="35" t="n">
        <v>2</v>
      </c>
      <c r="D17" s="35" t="inlineStr">
        <is>
          <t>22</t>
        </is>
      </c>
      <c r="E17" s="42" t="inlineStr">
        <is>
          <t>ACT</t>
        </is>
      </c>
      <c r="F17" s="24" t="inlineStr">
        <is>
          <t>NYJ</t>
        </is>
      </c>
      <c r="G17" s="24" t="inlineStr">
        <is>
          <t>4</t>
        </is>
      </c>
      <c r="H17" s="25" t="n">
        <v>0.243</v>
      </c>
      <c r="I17" s="25" t="n"/>
      <c r="J17" s="25" t="n"/>
      <c r="K17" s="26" t="n"/>
      <c r="L17" s="25" t="n"/>
      <c r="M17" s="25" t="n">
        <v>0.04</v>
      </c>
      <c r="N17" s="26" t="n">
        <v>3.63</v>
      </c>
      <c r="O17" s="25" t="n">
        <v>0.1132</v>
      </c>
      <c r="P17" s="25" t="n">
        <v>0.09089999999999999</v>
      </c>
      <c r="Q17" s="25" t="n">
        <v>0.0458</v>
      </c>
      <c r="R17" s="25" t="n">
        <v>0.0064</v>
      </c>
      <c r="S17" s="25" t="n">
        <v>0.704</v>
      </c>
      <c r="T17" s="26" t="n">
        <v>7.79</v>
      </c>
      <c r="U17" s="25" t="n">
        <v>0.0426</v>
      </c>
      <c r="V17" s="25" t="n"/>
      <c r="W17" s="27" t="n">
        <v>17</v>
      </c>
      <c r="X17" s="28" t="n"/>
      <c r="Y17" s="28" t="n"/>
      <c r="Z17" s="28" t="n"/>
      <c r="AA17" s="28" t="n">
        <v>0.1877</v>
      </c>
      <c r="AB17" s="29" t="n">
        <v>3.73</v>
      </c>
      <c r="AC17" s="28" t="n">
        <v>0.1989</v>
      </c>
      <c r="AD17" s="28" t="n">
        <v>0.0359</v>
      </c>
      <c r="AE17" s="28" t="n">
        <v>0.6933</v>
      </c>
      <c r="AF17" s="29" t="n">
        <v>7.86</v>
      </c>
      <c r="AG17" s="28" t="n">
        <v>0.0347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Isaiah Davis</t>
        </is>
      </c>
      <c r="C18" s="22" t="n">
        <v>3</v>
      </c>
      <c r="D18" s="22" t="inlineStr">
        <is>
          <t>24</t>
        </is>
      </c>
      <c r="E18" s="41" t="inlineStr">
        <is>
          <t>QUESTIONABLE</t>
        </is>
      </c>
      <c r="F18" s="24" t="inlineStr">
        <is>
          <t>NYJ</t>
        </is>
      </c>
      <c r="G18" s="24" t="inlineStr">
        <is>
          <t>16</t>
        </is>
      </c>
      <c r="H18" s="25" t="n">
        <v>0.246</v>
      </c>
      <c r="I18" s="25" t="n"/>
      <c r="J18" s="25" t="n"/>
      <c r="K18" s="26" t="n"/>
      <c r="L18" s="25" t="n"/>
      <c r="M18" s="25" t="n">
        <v>0.0956</v>
      </c>
      <c r="N18" s="26" t="n">
        <v>5.61</v>
      </c>
      <c r="O18" s="25" t="n">
        <v>0.09429999999999999</v>
      </c>
      <c r="P18" s="25" t="n">
        <v>0.09089999999999999</v>
      </c>
      <c r="Q18" s="25" t="n">
        <v>0.0204</v>
      </c>
      <c r="R18" s="25" t="n">
        <v>0.0593</v>
      </c>
      <c r="S18" s="25" t="n">
        <v>0.75</v>
      </c>
      <c r="T18" s="26" t="n">
        <v>8.859999999999999</v>
      </c>
      <c r="U18" s="25" t="n">
        <v>0.0213</v>
      </c>
      <c r="V18" s="25" t="n"/>
      <c r="W18" s="27" t="n">
        <v>17</v>
      </c>
      <c r="X18" s="28" t="n"/>
      <c r="Y18" s="28" t="n"/>
      <c r="Z18" s="28" t="n"/>
      <c r="AA18" s="28" t="n">
        <v>0.07199999999999999</v>
      </c>
      <c r="AB18" s="29" t="n">
        <v>5.62</v>
      </c>
      <c r="AC18" s="28" t="n">
        <v>0.101</v>
      </c>
      <c r="AD18" s="28" t="n">
        <v>0.0323</v>
      </c>
      <c r="AE18" s="28" t="n">
        <v>0.75</v>
      </c>
      <c r="AF18" s="29" t="n">
        <v>8.699999999999999</v>
      </c>
      <c r="AG18" s="28" t="n">
        <v>0.0347</v>
      </c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Andrew Beck</t>
        </is>
      </c>
      <c r="C19" s="35" t="n">
        <v>4</v>
      </c>
      <c r="D19" s="35" t="inlineStr">
        <is>
          <t>30</t>
        </is>
      </c>
      <c r="E19" s="42" t="inlineStr">
        <is>
          <t>ACT</t>
        </is>
      </c>
      <c r="F19" s="24" t="inlineStr">
        <is>
          <t>NYJ</t>
        </is>
      </c>
      <c r="G19" s="24" t="inlineStr">
        <is>
          <t>17</t>
        </is>
      </c>
      <c r="H19" s="25" t="n">
        <v>0.152</v>
      </c>
      <c r="I19" s="25" t="n"/>
      <c r="J19" s="25" t="n"/>
      <c r="K19" s="26" t="n"/>
      <c r="L19" s="25" t="n"/>
      <c r="M19" s="25" t="n">
        <v>0.0022</v>
      </c>
      <c r="N19" s="26" t="n"/>
      <c r="O19" s="25" t="n">
        <v>0.0189</v>
      </c>
      <c r="P19" s="25" t="n"/>
      <c r="Q19" s="25" t="n">
        <v>0.0018</v>
      </c>
      <c r="R19" s="25" t="n">
        <v>0.0191</v>
      </c>
      <c r="S19" s="25" t="n"/>
      <c r="T19" s="26" t="n"/>
      <c r="U19" s="25" t="n">
        <v>0.0426</v>
      </c>
      <c r="V19" s="25" t="n">
        <v>0.1333</v>
      </c>
      <c r="W19" s="27" t="n">
        <v>17</v>
      </c>
      <c r="X19" s="28" t="n"/>
      <c r="Y19" s="28" t="n"/>
      <c r="Z19" s="28" t="n"/>
      <c r="AA19" s="28" t="n">
        <v>0.021</v>
      </c>
      <c r="AB19" s="29" t="n">
        <v>4.13</v>
      </c>
      <c r="AC19" s="28" t="n">
        <v>0.0969</v>
      </c>
      <c r="AD19" s="28" t="n">
        <v>0.0148</v>
      </c>
      <c r="AE19" s="28" t="n">
        <v>0.7135</v>
      </c>
      <c r="AF19" s="29" t="n">
        <v>5.88</v>
      </c>
      <c r="AG19" s="28" t="n">
        <v>0.1266</v>
      </c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Kene Nwangwu</t>
        </is>
      </c>
      <c r="C20" s="22" t="n">
        <v>5</v>
      </c>
      <c r="D20" s="22" t="inlineStr">
        <is>
          <t>28</t>
        </is>
      </c>
      <c r="E20" s="23" t="inlineStr">
        <is>
          <t>ACT</t>
        </is>
      </c>
      <c r="F20" s="24" t="inlineStr">
        <is>
          <t>NYJ</t>
        </is>
      </c>
      <c r="G20" s="24" t="inlineStr">
        <is>
          <t>12</t>
        </is>
      </c>
      <c r="H20" s="25" t="n">
        <v>0.103</v>
      </c>
      <c r="I20" s="25" t="n"/>
      <c r="J20" s="25" t="n"/>
      <c r="K20" s="26" t="n"/>
      <c r="L20" s="25" t="n"/>
      <c r="M20" s="25" t="n">
        <v>0.0289</v>
      </c>
      <c r="N20" s="26" t="n"/>
      <c r="O20" s="25" t="n">
        <v>0.0566</v>
      </c>
      <c r="P20" s="25" t="n"/>
      <c r="Q20" s="25" t="n"/>
      <c r="R20" s="25" t="n">
        <v>0.0021</v>
      </c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0.02</v>
      </c>
      <c r="AB20" s="29" t="n">
        <v>3.44</v>
      </c>
      <c r="AC20" s="28" t="n"/>
      <c r="AD20" s="28" t="n">
        <v>0.0031</v>
      </c>
      <c r="AE20" s="28" t="n">
        <v>0.774</v>
      </c>
      <c r="AF20" s="29" t="n">
        <v>7.13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inlineStr">
        <is>
          <t>DeaMonte Trayanum</t>
        </is>
      </c>
      <c r="C21" s="35" t="n">
        <v>6</v>
      </c>
      <c r="D21" s="35" t="inlineStr">
        <is>
          <t>24</t>
        </is>
      </c>
      <c r="E21" s="42" t="inlineStr">
        <is>
          <t>ACT</t>
        </is>
      </c>
      <c r="F21" s="24" t="inlineStr"/>
      <c r="G21" s="24" t="inlineStr"/>
      <c r="H21" s="25" t="n"/>
      <c r="I21" s="25" t="n"/>
      <c r="J21" s="25" t="n"/>
      <c r="K21" s="26" t="n"/>
      <c r="L21" s="25" t="n"/>
      <c r="M21" s="25" t="n"/>
      <c r="N21" s="26" t="n"/>
      <c r="O21" s="25" t="n"/>
      <c r="P21" s="25" t="n"/>
      <c r="Q21" s="25" t="n"/>
      <c r="R21" s="25" t="n"/>
      <c r="S21" s="25" t="n"/>
      <c r="T21" s="26" t="n"/>
      <c r="U21" s="25" t="n"/>
      <c r="V21" s="25" t="n"/>
      <c r="W21" s="27" t="n">
        <v>17</v>
      </c>
      <c r="X21" s="28" t="n"/>
      <c r="Y21" s="28" t="n"/>
      <c r="Z21" s="28" t="n"/>
      <c r="AA21" s="28" t="n">
        <v>0.0033</v>
      </c>
      <c r="AB21" s="29" t="n">
        <v>4.13</v>
      </c>
      <c r="AC21" s="28" t="n"/>
      <c r="AD21" s="28" t="n">
        <v>0.0026</v>
      </c>
      <c r="AE21" s="28" t="n">
        <v>0.75</v>
      </c>
      <c r="AF21" s="29" t="n">
        <v>7.13</v>
      </c>
      <c r="AG21" s="28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Garrett Wilson</t>
        </is>
      </c>
      <c r="C23" s="35" t="n">
        <v>1</v>
      </c>
      <c r="D23" s="35" t="inlineStr">
        <is>
          <t>26</t>
        </is>
      </c>
      <c r="E23" s="42" t="inlineStr">
        <is>
          <t>ACT</t>
        </is>
      </c>
      <c r="F23" s="24" t="inlineStr">
        <is>
          <t>NYJ</t>
        </is>
      </c>
      <c r="G23" s="24" t="inlineStr">
        <is>
          <t>7</t>
        </is>
      </c>
      <c r="H23" s="25" t="n">
        <v>0.907</v>
      </c>
      <c r="I23" s="25" t="n"/>
      <c r="J23" s="25" t="n"/>
      <c r="K23" s="26" t="n"/>
      <c r="L23" s="25" t="n"/>
      <c r="M23" s="25" t="n"/>
      <c r="N23" s="26" t="n"/>
      <c r="O23" s="25" t="n"/>
      <c r="P23" s="25" t="n"/>
      <c r="Q23" s="25" t="n">
        <v>0.2615</v>
      </c>
      <c r="R23" s="25" t="n">
        <v>0.125</v>
      </c>
      <c r="S23" s="25" t="n">
        <v>0.617</v>
      </c>
      <c r="T23" s="26" t="n">
        <v>10.95</v>
      </c>
      <c r="U23" s="25" t="n">
        <v>0.0426</v>
      </c>
      <c r="V23" s="25" t="n">
        <v>0.2667</v>
      </c>
      <c r="W23" s="27" t="n">
        <v>17</v>
      </c>
      <c r="X23" s="28" t="n"/>
      <c r="Y23" s="28" t="n"/>
      <c r="Z23" s="28" t="n"/>
      <c r="AA23" s="28" t="n">
        <v>0.0098</v>
      </c>
      <c r="AB23" s="29" t="n"/>
      <c r="AC23" s="28" t="n"/>
      <c r="AD23" s="28" t="n">
        <v>0.211</v>
      </c>
      <c r="AE23" s="28" t="n">
        <v>0.6169</v>
      </c>
      <c r="AF23" s="29" t="n">
        <v>10.95</v>
      </c>
      <c r="AG23" s="28" t="n">
        <v>0.2694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Adonai Mitchell</t>
        </is>
      </c>
      <c r="C24" s="22" t="n">
        <v>2</v>
      </c>
      <c r="D24" s="22" t="inlineStr">
        <is>
          <t>23</t>
        </is>
      </c>
      <c r="E24" s="23" t="inlineStr">
        <is>
          <t>ACT</t>
        </is>
      </c>
      <c r="F24" s="24" t="inlineStr">
        <is>
          <t>NYJ</t>
        </is>
      </c>
      <c r="G24" s="24" t="inlineStr">
        <is>
          <t>8</t>
        </is>
      </c>
      <c r="H24" s="25" t="n">
        <v>0.452</v>
      </c>
      <c r="I24" s="25" t="n"/>
      <c r="J24" s="25" t="n"/>
      <c r="K24" s="26" t="n"/>
      <c r="L24" s="25" t="n"/>
      <c r="M24" s="25" t="n">
        <v>0.0022</v>
      </c>
      <c r="N24" s="26" t="n"/>
      <c r="O24" s="25" t="n"/>
      <c r="P24" s="25" t="n"/>
      <c r="Q24" s="25" t="n">
        <v>0.1118</v>
      </c>
      <c r="R24" s="25" t="n">
        <v>0.1229</v>
      </c>
      <c r="S24" s="25" t="n">
        <v>0.416</v>
      </c>
      <c r="T24" s="26" t="n">
        <v>13.12</v>
      </c>
      <c r="U24" s="25" t="n">
        <v>0.1489</v>
      </c>
      <c r="V24" s="25" t="n">
        <v>0.1333</v>
      </c>
      <c r="W24" s="27" t="n">
        <v>17</v>
      </c>
      <c r="X24" s="28" t="n"/>
      <c r="Y24" s="28" t="n"/>
      <c r="Z24" s="28" t="n"/>
      <c r="AA24" s="28" t="n">
        <v>0.0063</v>
      </c>
      <c r="AB24" s="29" t="n"/>
      <c r="AC24" s="28" t="n"/>
      <c r="AD24" s="28" t="n">
        <v>0.1153</v>
      </c>
      <c r="AE24" s="28" t="n">
        <v>0.4163</v>
      </c>
      <c r="AF24" s="29" t="n">
        <v>13.04</v>
      </c>
      <c r="AG24" s="28" t="n">
        <v>0.1431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Omar Cooper</t>
        </is>
      </c>
      <c r="C25" s="35" t="n">
        <v>3</v>
      </c>
      <c r="D25" s="35" t="inlineStr">
        <is>
          <t>22</t>
        </is>
      </c>
      <c r="E25" s="42" t="inlineStr">
        <is>
          <t>ACT</t>
        </is>
      </c>
      <c r="F25" s="24" t="inlineStr"/>
      <c r="G25" s="24" t="inlineStr"/>
      <c r="H25" s="25" t="n"/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/>
      <c r="R25" s="25" t="n"/>
      <c r="S25" s="25" t="n"/>
      <c r="T25" s="26" t="n"/>
      <c r="U25" s="25" t="n"/>
      <c r="V25" s="25" t="n"/>
      <c r="W25" s="27" t="n">
        <v>17</v>
      </c>
      <c r="X25" s="28" t="n"/>
      <c r="Y25" s="28" t="n"/>
      <c r="Z25" s="28" t="n"/>
      <c r="AA25" s="28" t="n">
        <v>0.0031</v>
      </c>
      <c r="AB25" s="29" t="n"/>
      <c r="AC25" s="28" t="n"/>
      <c r="AD25" s="28" t="n">
        <v>0.0806</v>
      </c>
      <c r="AE25" s="28" t="n">
        <v>0.65</v>
      </c>
      <c r="AF25" s="29" t="n">
        <v>12.84</v>
      </c>
      <c r="AG25" s="28" t="n"/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Isaiah Williams</t>
        </is>
      </c>
      <c r="C26" s="22" t="n">
        <v>4</v>
      </c>
      <c r="D26" s="22" t="inlineStr">
        <is>
          <t>25</t>
        </is>
      </c>
      <c r="E26" s="23" t="inlineStr">
        <is>
          <t>ACT</t>
        </is>
      </c>
      <c r="F26" s="24" t="inlineStr">
        <is>
          <t>NYJ</t>
        </is>
      </c>
      <c r="G26" s="24" t="inlineStr">
        <is>
          <t>15</t>
        </is>
      </c>
      <c r="H26" s="25" t="n">
        <v>0.33</v>
      </c>
      <c r="I26" s="25" t="n">
        <v>0.002</v>
      </c>
      <c r="J26" s="25" t="n"/>
      <c r="K26" s="26" t="n"/>
      <c r="L26" s="25" t="n"/>
      <c r="M26" s="25" t="n">
        <v>0.0067</v>
      </c>
      <c r="N26" s="26" t="n"/>
      <c r="O26" s="25" t="n"/>
      <c r="P26" s="25" t="n"/>
      <c r="Q26" s="25" t="n">
        <v>0.0057</v>
      </c>
      <c r="R26" s="25" t="n">
        <v>0.07630000000000001</v>
      </c>
      <c r="S26" s="25" t="n">
        <v>0.722</v>
      </c>
      <c r="T26" s="26" t="n">
        <v>7.42</v>
      </c>
      <c r="U26" s="25" t="n">
        <v>0.0213</v>
      </c>
      <c r="V26" s="25" t="n"/>
      <c r="W26" s="27" t="n">
        <v>17</v>
      </c>
      <c r="X26" s="28" t="n"/>
      <c r="Y26" s="28" t="n"/>
      <c r="Z26" s="28" t="n"/>
      <c r="AA26" s="28" t="n">
        <v>0.0028</v>
      </c>
      <c r="AB26" s="29" t="n"/>
      <c r="AC26" s="28" t="n"/>
      <c r="AD26" s="28" t="n">
        <v>0.0472</v>
      </c>
      <c r="AE26" s="28" t="n">
        <v>0.7181</v>
      </c>
      <c r="AF26" s="29" t="n">
        <v>7.11</v>
      </c>
      <c r="AG26" s="28" t="n"/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Tim Patrick</t>
        </is>
      </c>
      <c r="C27" s="35" t="n">
        <v>5</v>
      </c>
      <c r="D27" s="35" t="inlineStr">
        <is>
          <t>32</t>
        </is>
      </c>
      <c r="E27" s="42" t="inlineStr">
        <is>
          <t>ACT</t>
        </is>
      </c>
      <c r="F27" s="24" t="inlineStr">
        <is>
          <t>JAC</t>
        </is>
      </c>
      <c r="G27" s="24" t="inlineStr">
        <is>
          <t>16</t>
        </is>
      </c>
      <c r="H27" s="25" t="n">
        <v>0.42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>
        <v>0.0843</v>
      </c>
      <c r="R27" s="25" t="n">
        <v>0.0439</v>
      </c>
      <c r="S27" s="25" t="n">
        <v>0.672</v>
      </c>
      <c r="T27" s="26" t="n">
        <v>12.27</v>
      </c>
      <c r="U27" s="25" t="n">
        <v>0.1154</v>
      </c>
      <c r="V27" s="25" t="n">
        <v>0.1034</v>
      </c>
      <c r="W27" s="27" t="n">
        <v>17</v>
      </c>
      <c r="X27" s="28" t="n"/>
      <c r="Y27" s="28" t="n"/>
      <c r="Z27" s="28" t="n"/>
      <c r="AA27" s="28" t="n">
        <v>0.0023</v>
      </c>
      <c r="AB27" s="29" t="n"/>
      <c r="AC27" s="28" t="n"/>
      <c r="AD27" s="28" t="n">
        <v>0.0364</v>
      </c>
      <c r="AE27" s="28" t="n">
        <v>0.6719000000000001</v>
      </c>
      <c r="AF27" s="29" t="n">
        <v>12.1</v>
      </c>
      <c r="AG27" s="28" t="n">
        <v>0.1004</v>
      </c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Arian Smith</t>
        </is>
      </c>
      <c r="C28" s="22" t="n">
        <v>6</v>
      </c>
      <c r="D28" s="22" t="inlineStr">
        <is>
          <t>24</t>
        </is>
      </c>
      <c r="E28" s="23" t="inlineStr">
        <is>
          <t>ACT</t>
        </is>
      </c>
      <c r="F28" s="24" t="inlineStr">
        <is>
          <t>NYJ</t>
        </is>
      </c>
      <c r="G28" s="24" t="inlineStr">
        <is>
          <t>16</t>
        </is>
      </c>
      <c r="H28" s="25" t="n">
        <v>0.383</v>
      </c>
      <c r="I28" s="25" t="n"/>
      <c r="J28" s="25" t="n"/>
      <c r="K28" s="26" t="n"/>
      <c r="L28" s="25" t="n"/>
      <c r="M28" s="25" t="n">
        <v>0.0089</v>
      </c>
      <c r="N28" s="26" t="n"/>
      <c r="O28" s="25" t="n"/>
      <c r="P28" s="25" t="n"/>
      <c r="Q28" s="25" t="n"/>
      <c r="R28" s="25" t="n">
        <v>0.0339</v>
      </c>
      <c r="S28" s="25" t="n">
        <v>0.438</v>
      </c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0.003</v>
      </c>
      <c r="AB28" s="29" t="n">
        <v>3.25</v>
      </c>
      <c r="AC28" s="28" t="n"/>
      <c r="AD28" s="28" t="n">
        <v>0.0239</v>
      </c>
      <c r="AE28" s="28" t="n">
        <v>0.4375</v>
      </c>
      <c r="AF28" s="29" t="n">
        <v>7.43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Jamaal Pritchett</t>
        </is>
      </c>
      <c r="C29" s="35" t="n">
        <v>7</v>
      </c>
      <c r="D29" s="35" t="inlineStr">
        <is>
          <t>23</t>
        </is>
      </c>
      <c r="E29" s="42" t="inlineStr">
        <is>
          <t>ACT</t>
        </is>
      </c>
      <c r="F29" s="24" t="inlineStr"/>
      <c r="G29" s="24" t="inlineStr"/>
      <c r="H29" s="25" t="n"/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/>
      <c r="R29" s="25" t="n"/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0.0022</v>
      </c>
      <c r="AB29" s="29" t="n"/>
      <c r="AC29" s="28" t="n"/>
      <c r="AD29" s="28" t="n">
        <v>0.012</v>
      </c>
      <c r="AE29" s="28" t="n">
        <v>0.65</v>
      </c>
      <c r="AF29" s="29" t="n">
        <v>12.84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Malik McClain</t>
        </is>
      </c>
      <c r="C30" s="22" t="n">
        <v>8</v>
      </c>
      <c r="D30" s="22" t="inlineStr"/>
      <c r="E30" s="23" t="inlineStr">
        <is>
          <t>ACT</t>
        </is>
      </c>
      <c r="F30" s="24" t="inlineStr"/>
      <c r="G30" s="24" t="inlineStr"/>
      <c r="H30" s="25" t="n"/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/>
      <c r="R30" s="25" t="n"/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0.002</v>
      </c>
      <c r="AB30" s="29" t="n"/>
      <c r="AC30" s="28" t="n"/>
      <c r="AD30" s="28" t="n">
        <v>0.0032</v>
      </c>
      <c r="AE30" s="28" t="n">
        <v>0.65</v>
      </c>
      <c r="AF30" s="29" t="n">
        <v>12.84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Kenyon Sadiq</t>
        </is>
      </c>
      <c r="C32" s="22" t="n">
        <v>1</v>
      </c>
      <c r="D32" s="22" t="inlineStr">
        <is>
          <t>21</t>
        </is>
      </c>
      <c r="E32" s="41" t="inlineStr">
        <is>
          <t>QUESTIONABLE</t>
        </is>
      </c>
      <c r="F32" s="24" t="inlineStr"/>
      <c r="G32" s="24" t="inlineStr"/>
      <c r="H32" s="25" t="n"/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/>
      <c r="R32" s="25" t="n"/>
      <c r="S32" s="25" t="n"/>
      <c r="T32" s="26" t="n"/>
      <c r="U32" s="25" t="n"/>
      <c r="V32" s="25" t="n"/>
      <c r="W32" s="27" t="n">
        <v>17</v>
      </c>
      <c r="X32" s="28" t="n"/>
      <c r="Y32" s="28" t="n"/>
      <c r="Z32" s="28" t="n"/>
      <c r="AA32" s="28" t="n">
        <v>0.0026</v>
      </c>
      <c r="AB32" s="29" t="n"/>
      <c r="AC32" s="28" t="n"/>
      <c r="AD32" s="28" t="n">
        <v>0.1314</v>
      </c>
      <c r="AE32" s="28" t="n">
        <v>0.65</v>
      </c>
      <c r="AF32" s="29" t="n">
        <v>10.32</v>
      </c>
      <c r="AG32" s="28" t="n"/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Mason Taylor</t>
        </is>
      </c>
      <c r="C33" s="35" t="n">
        <v>2</v>
      </c>
      <c r="D33" s="35" t="inlineStr">
        <is>
          <t>22</t>
        </is>
      </c>
      <c r="E33" s="42" t="inlineStr">
        <is>
          <t>ACT</t>
        </is>
      </c>
      <c r="F33" s="24" t="inlineStr">
        <is>
          <t>NYJ</t>
        </is>
      </c>
      <c r="G33" s="24" t="inlineStr">
        <is>
          <t>13</t>
        </is>
      </c>
      <c r="H33" s="25" t="n">
        <v>0.8110000000000001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/>
      <c r="R33" s="25" t="n">
        <v>0.1377</v>
      </c>
      <c r="S33" s="25" t="n">
        <v>0.677</v>
      </c>
      <c r="T33" s="26" t="n">
        <v>8.390000000000001</v>
      </c>
      <c r="U33" s="25" t="n">
        <v>0.1489</v>
      </c>
      <c r="V33" s="25" t="n">
        <v>0.0667</v>
      </c>
      <c r="W33" s="27" t="n">
        <v>17</v>
      </c>
      <c r="X33" s="28" t="n"/>
      <c r="Y33" s="28" t="n"/>
      <c r="Z33" s="28" t="n"/>
      <c r="AA33" s="28" t="n">
        <v>0.0009</v>
      </c>
      <c r="AB33" s="29" t="n"/>
      <c r="AC33" s="28" t="n"/>
      <c r="AD33" s="28" t="n">
        <v>0.0936</v>
      </c>
      <c r="AE33" s="28" t="n">
        <v>0.6768999999999999</v>
      </c>
      <c r="AF33" s="29" t="n">
        <v>8.390000000000001</v>
      </c>
      <c r="AG33" s="28" t="n">
        <v>0.0716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Jeremy Ruckert</t>
        </is>
      </c>
      <c r="C34" s="22" t="n">
        <v>3</v>
      </c>
      <c r="D34" s="22" t="inlineStr">
        <is>
          <t>26</t>
        </is>
      </c>
      <c r="E34" s="23" t="inlineStr">
        <is>
          <t>ACT</t>
        </is>
      </c>
      <c r="F34" s="24" t="inlineStr">
        <is>
          <t>NYJ</t>
        </is>
      </c>
      <c r="G34" s="24" t="inlineStr">
        <is>
          <t>17</t>
        </is>
      </c>
      <c r="H34" s="25" t="n">
        <v>0.411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0.0475</v>
      </c>
      <c r="R34" s="25" t="n">
        <v>0.0614</v>
      </c>
      <c r="S34" s="25" t="n">
        <v>0.735</v>
      </c>
      <c r="T34" s="26" t="n">
        <v>7.48</v>
      </c>
      <c r="U34" s="25" t="n">
        <v>0.0638</v>
      </c>
      <c r="V34" s="25" t="n">
        <v>0.0667</v>
      </c>
      <c r="W34" s="27" t="n">
        <v>17</v>
      </c>
      <c r="X34" s="28" t="n"/>
      <c r="Y34" s="28" t="n"/>
      <c r="Z34" s="28" t="n"/>
      <c r="AA34" s="28" t="n">
        <v>0.0009</v>
      </c>
      <c r="AB34" s="29" t="n"/>
      <c r="AC34" s="28" t="n"/>
      <c r="AD34" s="28" t="n">
        <v>0.0359</v>
      </c>
      <c r="AE34" s="28" t="n">
        <v>0.735</v>
      </c>
      <c r="AF34" s="29" t="n">
        <v>7.63</v>
      </c>
      <c r="AG34" s="28" t="n">
        <v>0.0716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Jelani Woods</t>
        </is>
      </c>
      <c r="C35" s="35" t="n">
        <v>4</v>
      </c>
      <c r="D35" s="35" t="inlineStr">
        <is>
          <t>27</t>
        </is>
      </c>
      <c r="E35" s="42" t="inlineStr">
        <is>
          <t>ACT</t>
        </is>
      </c>
      <c r="F35" s="24" t="inlineStr">
        <is>
          <t>NYJ</t>
        </is>
      </c>
      <c r="G35" s="24" t="inlineStr">
        <is>
          <t>4</t>
        </is>
      </c>
      <c r="H35" s="25" t="n">
        <v>0.228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>
        <v>0.0064</v>
      </c>
      <c r="S35" s="25" t="n"/>
      <c r="T35" s="26" t="n"/>
      <c r="U35" s="25" t="n">
        <v>0.0213</v>
      </c>
      <c r="V35" s="25" t="n"/>
      <c r="W35" s="27" t="n">
        <v>17</v>
      </c>
      <c r="X35" s="28" t="n"/>
      <c r="Y35" s="28" t="n"/>
      <c r="Z35" s="28" t="n"/>
      <c r="AA35" s="28" t="n">
        <v>0.0009</v>
      </c>
      <c r="AB35" s="29" t="n"/>
      <c r="AC35" s="28" t="n"/>
      <c r="AD35" s="28" t="n">
        <v>0.0061</v>
      </c>
      <c r="AE35" s="28" t="n">
        <v>0.3333</v>
      </c>
      <c r="AF35" s="29" t="n">
        <v>4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PHI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1058</v>
      </c>
      <c r="D4" s="10">
        <f>$C$4/$B$4</f>
        <v/>
      </c>
      <c r="E4" s="11" t="n">
        <v>0.5224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1010</v>
      </c>
      <c r="M4" s="14" t="n">
        <v>59.4118</v>
      </c>
      <c r="N4" s="15" t="n">
        <v>0.5266999999999999</v>
      </c>
      <c r="O4" s="13" t="n">
        <v>497</v>
      </c>
      <c r="P4" s="13" t="n">
        <v>478</v>
      </c>
      <c r="Q4" s="16" t="n">
        <v>7.0382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42.1</v>
      </c>
      <c r="C7" s="11" t="n">
        <v>0.4318</v>
      </c>
      <c r="D7" s="10">
        <f>$B$7*$C$7</f>
        <v/>
      </c>
      <c r="E7" s="10">
        <f>$B$7-$D$7</f>
        <v/>
      </c>
      <c r="F7" s="12" t="n">
        <v>3717</v>
      </c>
      <c r="G7" s="12" t="n">
        <v>2216</v>
      </c>
      <c r="H7" s="12">
        <f>$F$7</f>
        <v/>
      </c>
      <c r="L7" s="13" t="n">
        <v>3498</v>
      </c>
      <c r="M7" s="13" t="n">
        <v>1988</v>
      </c>
      <c r="N7" s="14" t="n">
        <v>26</v>
      </c>
      <c r="O7" s="14" t="n">
        <v>17</v>
      </c>
      <c r="P7" s="14" t="n">
        <v>43</v>
      </c>
      <c r="Q7" s="15" t="n">
        <v>0.3953488372093023</v>
      </c>
    </row>
    <row r="8"/>
    <row r="9">
      <c r="A9" s="5" t="inlineStr">
        <is>
          <t>NOTES</t>
        </is>
      </c>
      <c r="B9" s="18" t="inlineStr">
        <is>
          <t>39% of targets and 3% of carries left this roster.  HC unchanged. OC Sean Mannion under Nick Sirianni. Shift toward under-center looks; wide-zone running scheme.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Jalen Hurts</t>
        </is>
      </c>
      <c r="C12" s="22" t="n">
        <v>1</v>
      </c>
      <c r="D12" s="22" t="inlineStr">
        <is>
          <t>28</t>
        </is>
      </c>
      <c r="E12" s="23" t="inlineStr">
        <is>
          <t>ACT</t>
        </is>
      </c>
      <c r="F12" s="24" t="inlineStr">
        <is>
          <t>PHI</t>
        </is>
      </c>
      <c r="G12" s="24" t="inlineStr">
        <is>
          <t>16</t>
        </is>
      </c>
      <c r="H12" s="25" t="n">
        <v>0.955</v>
      </c>
      <c r="I12" s="25" t="n">
        <v>0.9135</v>
      </c>
      <c r="J12" s="25" t="n">
        <v>0.66</v>
      </c>
      <c r="K12" s="26" t="n">
        <v>7.38</v>
      </c>
      <c r="L12" s="25" t="n">
        <v>0.017</v>
      </c>
      <c r="M12" s="25" t="n">
        <v>0.2035</v>
      </c>
      <c r="N12" s="26" t="n">
        <v>4.52</v>
      </c>
      <c r="O12" s="25" t="n">
        <v>0.3171</v>
      </c>
      <c r="P12" s="25" t="n">
        <v>0.4706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0.8225</v>
      </c>
      <c r="Y12" s="28" t="n">
        <v>0.66</v>
      </c>
      <c r="Z12" s="28" t="n">
        <v>0.017</v>
      </c>
      <c r="AA12" s="28" t="n">
        <v>0.1712</v>
      </c>
      <c r="AB12" s="29" t="n">
        <v>4.48</v>
      </c>
      <c r="AC12" s="28" t="n">
        <v>0.3485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Andy Dalton</t>
        </is>
      </c>
      <c r="C13" s="35" t="n">
        <v>2</v>
      </c>
      <c r="D13" s="35" t="inlineStr">
        <is>
          <t>38</t>
        </is>
      </c>
      <c r="E13" s="42" t="inlineStr">
        <is>
          <t>ACT</t>
        </is>
      </c>
      <c r="F13" s="24" t="inlineStr">
        <is>
          <t>CAR</t>
        </is>
      </c>
      <c r="G13" s="24" t="inlineStr">
        <is>
          <t>4</t>
        </is>
      </c>
      <c r="H13" s="25" t="n">
        <v>0.502</v>
      </c>
      <c r="I13" s="25" t="n">
        <v>0.0718</v>
      </c>
      <c r="J13" s="25" t="n">
        <v>0.658</v>
      </c>
      <c r="K13" s="26" t="n">
        <v>6.98</v>
      </c>
      <c r="L13" s="25" t="n">
        <v>0.028</v>
      </c>
      <c r="M13" s="25" t="n">
        <v>0.0045</v>
      </c>
      <c r="N13" s="26" t="n"/>
      <c r="O13" s="25" t="n"/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0.0767</v>
      </c>
      <c r="Y13" s="28" t="n">
        <v>0.658</v>
      </c>
      <c r="Z13" s="28" t="n">
        <v>0.028</v>
      </c>
      <c r="AA13" s="28" t="n">
        <v>0.0057</v>
      </c>
      <c r="AB13" s="29" t="n">
        <v>3.67</v>
      </c>
      <c r="AC13" s="28" t="n"/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Tanner McKee</t>
        </is>
      </c>
      <c r="C14" s="22" t="n">
        <v>3</v>
      </c>
      <c r="D14" s="22" t="inlineStr">
        <is>
          <t>26</t>
        </is>
      </c>
      <c r="E14" s="23" t="inlineStr">
        <is>
          <t>ACT</t>
        </is>
      </c>
      <c r="F14" s="24" t="inlineStr">
        <is>
          <t>PHI</t>
        </is>
      </c>
      <c r="G14" s="24" t="inlineStr">
        <is>
          <t>4</t>
        </is>
      </c>
      <c r="H14" s="25" t="n">
        <v>0.463</v>
      </c>
      <c r="I14" s="25" t="n">
        <v>0.08649999999999999</v>
      </c>
      <c r="J14" s="25" t="n">
        <v>0.583</v>
      </c>
      <c r="K14" s="26" t="n">
        <v>6.56</v>
      </c>
      <c r="L14" s="25" t="n">
        <v>0.018</v>
      </c>
      <c r="M14" s="25" t="n">
        <v>0.0065</v>
      </c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0.0839</v>
      </c>
      <c r="Y14" s="28" t="n">
        <v>0.583</v>
      </c>
      <c r="Z14" s="28" t="n">
        <v>0.018</v>
      </c>
      <c r="AA14" s="28" t="n">
        <v>0.0058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Saquon Barkley</t>
        </is>
      </c>
      <c r="C16" s="22" t="n">
        <v>1</v>
      </c>
      <c r="D16" s="22" t="inlineStr">
        <is>
          <t>29</t>
        </is>
      </c>
      <c r="E16" s="23" t="inlineStr">
        <is>
          <t>ACT</t>
        </is>
      </c>
      <c r="F16" s="24" t="inlineStr">
        <is>
          <t>PHI</t>
        </is>
      </c>
      <c r="G16" s="24" t="inlineStr">
        <is>
          <t>16</t>
        </is>
      </c>
      <c r="H16" s="25" t="n">
        <v>0.77</v>
      </c>
      <c r="I16" s="25" t="n"/>
      <c r="J16" s="25" t="n"/>
      <c r="K16" s="26" t="n"/>
      <c r="L16" s="25" t="n"/>
      <c r="M16" s="25" t="n">
        <v>0.6061</v>
      </c>
      <c r="N16" s="26" t="n">
        <v>4.58</v>
      </c>
      <c r="O16" s="25" t="n">
        <v>0.4756</v>
      </c>
      <c r="P16" s="25" t="n">
        <v>0.4118</v>
      </c>
      <c r="Q16" s="25" t="n">
        <v>0.1029</v>
      </c>
      <c r="R16" s="25" t="n">
        <v>0.1078</v>
      </c>
      <c r="S16" s="25" t="n">
        <v>0.738</v>
      </c>
      <c r="T16" s="26" t="n">
        <v>7.6</v>
      </c>
      <c r="U16" s="25" t="n">
        <v>0.1111</v>
      </c>
      <c r="V16" s="25" t="n">
        <v>0.0769</v>
      </c>
      <c r="W16" s="27" t="n">
        <v>17</v>
      </c>
      <c r="X16" s="28" t="n"/>
      <c r="Y16" s="28" t="n"/>
      <c r="Z16" s="28" t="n"/>
      <c r="AA16" s="28" t="n">
        <v>0.4789</v>
      </c>
      <c r="AB16" s="29" t="n">
        <v>4.71</v>
      </c>
      <c r="AC16" s="28" t="n">
        <v>0.3067</v>
      </c>
      <c r="AD16" s="28" t="n">
        <v>0.1017</v>
      </c>
      <c r="AE16" s="28" t="n">
        <v>0.7383</v>
      </c>
      <c r="AF16" s="29" t="n">
        <v>7.49</v>
      </c>
      <c r="AG16" s="28" t="n">
        <v>0.0977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Tank Bigsby</t>
        </is>
      </c>
      <c r="C17" s="35" t="n">
        <v>2</v>
      </c>
      <c r="D17" s="35" t="inlineStr">
        <is>
          <t>24</t>
        </is>
      </c>
      <c r="E17" s="42" t="inlineStr">
        <is>
          <t>ACT</t>
        </is>
      </c>
      <c r="F17" s="24" t="inlineStr">
        <is>
          <t>PHI</t>
        </is>
      </c>
      <c r="G17" s="24" t="inlineStr">
        <is>
          <t>16</t>
        </is>
      </c>
      <c r="H17" s="25" t="n">
        <v>0.231</v>
      </c>
      <c r="I17" s="25" t="n"/>
      <c r="J17" s="25" t="n"/>
      <c r="K17" s="26" t="n"/>
      <c r="L17" s="25" t="n"/>
      <c r="M17" s="25" t="n">
        <v>0.1255</v>
      </c>
      <c r="N17" s="26" t="n">
        <v>4.83</v>
      </c>
      <c r="O17" s="25" t="n">
        <v>0.1829</v>
      </c>
      <c r="P17" s="25" t="n">
        <v>0.1176</v>
      </c>
      <c r="Q17" s="25" t="n">
        <v>0.023</v>
      </c>
      <c r="R17" s="25" t="n">
        <v>0.0086</v>
      </c>
      <c r="S17" s="25" t="n"/>
      <c r="T17" s="26" t="n"/>
      <c r="U17" s="25" t="n">
        <v>0.0185</v>
      </c>
      <c r="V17" s="25" t="n"/>
      <c r="W17" s="27" t="n">
        <v>17</v>
      </c>
      <c r="X17" s="28" t="n"/>
      <c r="Y17" s="28" t="n"/>
      <c r="Z17" s="28" t="n"/>
      <c r="AA17" s="28" t="n">
        <v>0.1671</v>
      </c>
      <c r="AB17" s="29" t="n">
        <v>4.5</v>
      </c>
      <c r="AC17" s="28" t="n">
        <v>0.1627</v>
      </c>
      <c r="AD17" s="28" t="n">
        <v>0.0255</v>
      </c>
      <c r="AE17" s="28" t="n">
        <v>0.5957</v>
      </c>
      <c r="AF17" s="29" t="n">
        <v>8.359999999999999</v>
      </c>
      <c r="AG17" s="28" t="n"/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Will Shipley</t>
        </is>
      </c>
      <c r="C18" s="22" t="n">
        <v>3</v>
      </c>
      <c r="D18" s="22" t="inlineStr">
        <is>
          <t>24</t>
        </is>
      </c>
      <c r="E18" s="23" t="inlineStr">
        <is>
          <t>ACT</t>
        </is>
      </c>
      <c r="F18" s="24" t="inlineStr">
        <is>
          <t>PHI</t>
        </is>
      </c>
      <c r="G18" s="24" t="inlineStr">
        <is>
          <t>15</t>
        </is>
      </c>
      <c r="H18" s="25" t="n">
        <v>0.123</v>
      </c>
      <c r="I18" s="25" t="n"/>
      <c r="J18" s="25" t="n"/>
      <c r="K18" s="26" t="n"/>
      <c r="L18" s="25" t="n"/>
      <c r="M18" s="25" t="n">
        <v>0.0303</v>
      </c>
      <c r="N18" s="26" t="n">
        <v>2.73</v>
      </c>
      <c r="O18" s="25" t="n"/>
      <c r="P18" s="25" t="n"/>
      <c r="Q18" s="25" t="n">
        <v>0.009599999999999999</v>
      </c>
      <c r="R18" s="25" t="n">
        <v>0.0259</v>
      </c>
      <c r="S18" s="25" t="n"/>
      <c r="T18" s="26" t="n"/>
      <c r="U18" s="25" t="n">
        <v>0.0185</v>
      </c>
      <c r="V18" s="25" t="n"/>
      <c r="W18" s="27" t="n">
        <v>17</v>
      </c>
      <c r="X18" s="28" t="n"/>
      <c r="Y18" s="28" t="n"/>
      <c r="Z18" s="28" t="n"/>
      <c r="AA18" s="28" t="n">
        <v>0.0135</v>
      </c>
      <c r="AB18" s="29" t="n">
        <v>2.98</v>
      </c>
      <c r="AC18" s="28" t="n"/>
      <c r="AD18" s="28" t="n">
        <v>0.0132</v>
      </c>
      <c r="AE18" s="28" t="n">
        <v>0.8476</v>
      </c>
      <c r="AF18" s="29" t="n">
        <v>7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Jordan Mims</t>
        </is>
      </c>
      <c r="C19" s="35" t="n">
        <v>4</v>
      </c>
      <c r="D19" s="35" t="inlineStr">
        <is>
          <t>27</t>
        </is>
      </c>
      <c r="E19" s="42" t="inlineStr">
        <is>
          <t>ACT</t>
        </is>
      </c>
      <c r="F19" s="24" t="inlineStr"/>
      <c r="G19" s="24" t="inlineStr"/>
      <c r="H19" s="25" t="n">
        <v>0.127</v>
      </c>
      <c r="I19" s="25" t="n"/>
      <c r="J19" s="25" t="n"/>
      <c r="K19" s="26" t="n"/>
      <c r="L19" s="25" t="n"/>
      <c r="M19" s="25" t="n"/>
      <c r="N19" s="26" t="n">
        <v>3.5</v>
      </c>
      <c r="O19" s="25" t="n"/>
      <c r="P19" s="25" t="n"/>
      <c r="Q19" s="25" t="n">
        <v>0.0348</v>
      </c>
      <c r="R19" s="25" t="n"/>
      <c r="S19" s="25" t="n">
        <v>0.667</v>
      </c>
      <c r="T19" s="26" t="n">
        <v>5.92</v>
      </c>
      <c r="U19" s="25" t="n"/>
      <c r="V19" s="25" t="n"/>
      <c r="W19" s="27" t="n">
        <v>17</v>
      </c>
      <c r="X19" s="28" t="n"/>
      <c r="Y19" s="28" t="n"/>
      <c r="Z19" s="28" t="n"/>
      <c r="AA19" s="28" t="n">
        <v>0.0326</v>
      </c>
      <c r="AB19" s="29" t="n">
        <v>3.5</v>
      </c>
      <c r="AC19" s="28" t="n"/>
      <c r="AD19" s="28" t="n">
        <v>0.021</v>
      </c>
      <c r="AE19" s="28" t="n">
        <v>0.6667</v>
      </c>
      <c r="AF19" s="29" t="n">
        <v>5.92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40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DeVonta Smith</t>
        </is>
      </c>
      <c r="C23" s="35" t="n">
        <v>1</v>
      </c>
      <c r="D23" s="35" t="inlineStr">
        <is>
          <t>27</t>
        </is>
      </c>
      <c r="E23" s="42" t="inlineStr">
        <is>
          <t>ACT</t>
        </is>
      </c>
      <c r="F23" s="24" t="inlineStr">
        <is>
          <t>PHI</t>
        </is>
      </c>
      <c r="G23" s="24" t="inlineStr">
        <is>
          <t>17</t>
        </is>
      </c>
      <c r="H23" s="25" t="n">
        <v>0.88</v>
      </c>
      <c r="I23" s="25" t="n"/>
      <c r="J23" s="25" t="n"/>
      <c r="K23" s="26" t="n"/>
      <c r="L23" s="25" t="n"/>
      <c r="M23" s="25" t="n"/>
      <c r="N23" s="26" t="n"/>
      <c r="O23" s="25" t="n"/>
      <c r="P23" s="25" t="n"/>
      <c r="Q23" s="25" t="n">
        <v>0.2129</v>
      </c>
      <c r="R23" s="25" t="n">
        <v>0.2435</v>
      </c>
      <c r="S23" s="25" t="n">
        <v>0.711</v>
      </c>
      <c r="T23" s="26" t="n">
        <v>12.89</v>
      </c>
      <c r="U23" s="25" t="n">
        <v>0.1852</v>
      </c>
      <c r="V23" s="25" t="n">
        <v>0.1538</v>
      </c>
      <c r="W23" s="27" t="n">
        <v>17</v>
      </c>
      <c r="X23" s="28" t="n"/>
      <c r="Y23" s="28" t="n"/>
      <c r="Z23" s="28" t="n"/>
      <c r="AA23" s="28" t="n">
        <v>0.0044</v>
      </c>
      <c r="AB23" s="29" t="n"/>
      <c r="AC23" s="28" t="n"/>
      <c r="AD23" s="28" t="n">
        <v>0.2282</v>
      </c>
      <c r="AE23" s="28" t="n">
        <v>0.7106</v>
      </c>
      <c r="AF23" s="29" t="n">
        <v>12.86</v>
      </c>
      <c r="AG23" s="28" t="n">
        <v>0.1962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Makai Lemon</t>
        </is>
      </c>
      <c r="C24" s="22" t="n">
        <v>2</v>
      </c>
      <c r="D24" s="22" t="inlineStr">
        <is>
          <t>22</t>
        </is>
      </c>
      <c r="E24" s="23" t="inlineStr">
        <is>
          <t>ACT</t>
        </is>
      </c>
      <c r="F24" s="24" t="inlineStr"/>
      <c r="G24" s="24" t="inlineStr"/>
      <c r="H24" s="25" t="n"/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/>
      <c r="R24" s="25" t="n"/>
      <c r="S24" s="25" t="n"/>
      <c r="T24" s="26" t="n"/>
      <c r="U24" s="25" t="n"/>
      <c r="V24" s="25" t="n"/>
      <c r="W24" s="27" t="n">
        <v>17</v>
      </c>
      <c r="X24" s="28" t="n"/>
      <c r="Y24" s="28" t="n"/>
      <c r="Z24" s="28" t="n"/>
      <c r="AA24" s="28" t="n">
        <v>0.0037</v>
      </c>
      <c r="AB24" s="29" t="n"/>
      <c r="AC24" s="28" t="n"/>
      <c r="AD24" s="28" t="n">
        <v>0.1774</v>
      </c>
      <c r="AE24" s="28" t="n">
        <v>0.65</v>
      </c>
      <c r="AF24" s="29" t="n">
        <v>12.84</v>
      </c>
      <c r="AG24" s="28" t="n"/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Dontayvion Wicks</t>
        </is>
      </c>
      <c r="C25" s="35" t="n">
        <v>3</v>
      </c>
      <c r="D25" s="35" t="inlineStr">
        <is>
          <t>25</t>
        </is>
      </c>
      <c r="E25" s="42" t="inlineStr">
        <is>
          <t>ACT</t>
        </is>
      </c>
      <c r="F25" s="24" t="inlineStr">
        <is>
          <t>GB</t>
        </is>
      </c>
      <c r="G25" s="24" t="inlineStr">
        <is>
          <t>14</t>
        </is>
      </c>
      <c r="H25" s="25" t="n">
        <v>0.483</v>
      </c>
      <c r="I25" s="25" t="n"/>
      <c r="J25" s="25" t="n"/>
      <c r="K25" s="26" t="n"/>
      <c r="L25" s="25" t="n"/>
      <c r="M25" s="25" t="n">
        <v>0.0021</v>
      </c>
      <c r="N25" s="26" t="n"/>
      <c r="O25" s="25" t="n"/>
      <c r="P25" s="25" t="n"/>
      <c r="Q25" s="25" t="n">
        <v>0.1638</v>
      </c>
      <c r="R25" s="25" t="n">
        <v>0.1</v>
      </c>
      <c r="S25" s="25" t="n">
        <v>0.609</v>
      </c>
      <c r="T25" s="26" t="n">
        <v>11.68</v>
      </c>
      <c r="U25" s="25" t="n">
        <v>0.0615</v>
      </c>
      <c r="V25" s="25" t="n">
        <v>0.0769</v>
      </c>
      <c r="W25" s="27" t="n">
        <v>17</v>
      </c>
      <c r="X25" s="28" t="n"/>
      <c r="Y25" s="28" t="n"/>
      <c r="Z25" s="28" t="n"/>
      <c r="AA25" s="28" t="n">
        <v>0.002</v>
      </c>
      <c r="AB25" s="29" t="n">
        <v>3.5</v>
      </c>
      <c r="AC25" s="28" t="n"/>
      <c r="AD25" s="28" t="n">
        <v>0.0393</v>
      </c>
      <c r="AE25" s="28" t="n">
        <v>0.6092</v>
      </c>
      <c r="AF25" s="29" t="n">
        <v>12.3</v>
      </c>
      <c r="AG25" s="28" t="n">
        <v>0.1044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Marquise Brown</t>
        </is>
      </c>
      <c r="C26" s="22" t="n">
        <v>4</v>
      </c>
      <c r="D26" s="22" t="inlineStr">
        <is>
          <t>29</t>
        </is>
      </c>
      <c r="E26" s="23" t="inlineStr">
        <is>
          <t>ACT</t>
        </is>
      </c>
      <c r="F26" s="24" t="inlineStr">
        <is>
          <t>KC</t>
        </is>
      </c>
      <c r="G26" s="24" t="inlineStr">
        <is>
          <t>16</t>
        </is>
      </c>
      <c r="H26" s="25" t="n">
        <v>0.538</v>
      </c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>
        <v>0.0262</v>
      </c>
      <c r="R26" s="25" t="n">
        <v>0.1348</v>
      </c>
      <c r="S26" s="25" t="n">
        <v>0.62</v>
      </c>
      <c r="T26" s="26" t="n">
        <v>11.79</v>
      </c>
      <c r="U26" s="25" t="n">
        <v>0.1343</v>
      </c>
      <c r="V26" s="25" t="n">
        <v>0.2174</v>
      </c>
      <c r="W26" s="27" t="n">
        <v>17</v>
      </c>
      <c r="X26" s="28" t="n"/>
      <c r="Y26" s="28" t="n"/>
      <c r="Z26" s="28" t="n"/>
      <c r="AA26" s="28" t="n">
        <v>0.0024</v>
      </c>
      <c r="AB26" s="29" t="n"/>
      <c r="AC26" s="28" t="n"/>
      <c r="AD26" s="28" t="n">
        <v>0.0772</v>
      </c>
      <c r="AE26" s="28" t="n">
        <v>0.6203</v>
      </c>
      <c r="AF26" s="29" t="n">
        <v>11.49</v>
      </c>
      <c r="AG26" s="28" t="n">
        <v>0.1889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Darius Cooper</t>
        </is>
      </c>
      <c r="C27" s="35" t="n">
        <v>5</v>
      </c>
      <c r="D27" s="35" t="inlineStr">
        <is>
          <t>24</t>
        </is>
      </c>
      <c r="E27" s="42" t="inlineStr">
        <is>
          <t>ACT</t>
        </is>
      </c>
      <c r="F27" s="24" t="inlineStr">
        <is>
          <t>PHI</t>
        </is>
      </c>
      <c r="G27" s="24" t="inlineStr">
        <is>
          <t>13</t>
        </is>
      </c>
      <c r="H27" s="25" t="n">
        <v>0.258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/>
      <c r="R27" s="25" t="n">
        <v>0.0237</v>
      </c>
      <c r="S27" s="25" t="n"/>
      <c r="T27" s="26" t="n"/>
      <c r="U27" s="25" t="n"/>
      <c r="V27" s="25" t="n"/>
      <c r="W27" s="27" t="n">
        <v>17</v>
      </c>
      <c r="X27" s="28" t="n"/>
      <c r="Y27" s="28" t="n"/>
      <c r="Z27" s="28" t="n"/>
      <c r="AA27" s="28" t="n">
        <v>0.0008</v>
      </c>
      <c r="AB27" s="29" t="n"/>
      <c r="AC27" s="28" t="n"/>
      <c r="AD27" s="28" t="n">
        <v>0.0173</v>
      </c>
      <c r="AE27" s="28" t="n">
        <v>0.8182</v>
      </c>
      <c r="AF27" s="29" t="n">
        <v>10.22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Elijah Moore</t>
        </is>
      </c>
      <c r="C28" s="22" t="n">
        <v>6</v>
      </c>
      <c r="D28" s="22" t="inlineStr">
        <is>
          <t>26</t>
        </is>
      </c>
      <c r="E28" s="23" t="inlineStr">
        <is>
          <t>ACT</t>
        </is>
      </c>
      <c r="F28" s="24" t="inlineStr">
        <is>
          <t>BUF</t>
        </is>
      </c>
      <c r="G28" s="24" t="inlineStr">
        <is>
          <t>9</t>
        </is>
      </c>
      <c r="H28" s="25" t="n">
        <v>0.527</v>
      </c>
      <c r="I28" s="25" t="n"/>
      <c r="J28" s="25" t="n"/>
      <c r="K28" s="26" t="n"/>
      <c r="L28" s="25" t="n"/>
      <c r="M28" s="25" t="n">
        <v>0.0115</v>
      </c>
      <c r="N28" s="26" t="n"/>
      <c r="O28" s="25" t="n">
        <v>0.0089</v>
      </c>
      <c r="P28" s="25" t="n">
        <v>0.0333</v>
      </c>
      <c r="Q28" s="25" t="n">
        <v>0.1609</v>
      </c>
      <c r="R28" s="25" t="n">
        <v>0.0355</v>
      </c>
      <c r="S28" s="25" t="n">
        <v>0.5659999999999999</v>
      </c>
      <c r="T28" s="26" t="n">
        <v>9.630000000000001</v>
      </c>
      <c r="U28" s="25" t="n"/>
      <c r="V28" s="25" t="n"/>
      <c r="W28" s="27" t="n">
        <v>17</v>
      </c>
      <c r="X28" s="28" t="n"/>
      <c r="Y28" s="28" t="n"/>
      <c r="Z28" s="28" t="n"/>
      <c r="AA28" s="28" t="n">
        <v>0.002</v>
      </c>
      <c r="AB28" s="29" t="n">
        <v>2.25</v>
      </c>
      <c r="AC28" s="28" t="n">
        <v>0.0224</v>
      </c>
      <c r="AD28" s="28" t="n">
        <v>0.0221</v>
      </c>
      <c r="AE28" s="28" t="n">
        <v>0.5662</v>
      </c>
      <c r="AF28" s="29" t="n">
        <v>10</v>
      </c>
      <c r="AG28" s="28" t="n">
        <v>0.0561</v>
      </c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Britain Covey</t>
        </is>
      </c>
      <c r="C29" s="35" t="n">
        <v>7</v>
      </c>
      <c r="D29" s="35" t="inlineStr">
        <is>
          <t>29</t>
        </is>
      </c>
      <c r="E29" s="42" t="inlineStr">
        <is>
          <t>ACT</t>
        </is>
      </c>
      <c r="F29" s="24" t="inlineStr">
        <is>
          <t>PHI</t>
        </is>
      </c>
      <c r="G29" s="24" t="inlineStr">
        <is>
          <t>6</t>
        </is>
      </c>
      <c r="H29" s="25" t="n">
        <v>0.168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>
        <v>0.0191</v>
      </c>
      <c r="R29" s="25" t="n">
        <v>0.0086</v>
      </c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0.0007</v>
      </c>
      <c r="AB29" s="29" t="n"/>
      <c r="AC29" s="28" t="n"/>
      <c r="AD29" s="28" t="n">
        <v>0.008699999999999999</v>
      </c>
      <c r="AE29" s="28" t="n">
        <v>0.6423</v>
      </c>
      <c r="AF29" s="29" t="n">
        <v>7.38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Quez Watkins</t>
        </is>
      </c>
      <c r="C30" s="22" t="n">
        <v>8</v>
      </c>
      <c r="D30" s="22" t="inlineStr">
        <is>
          <t>28</t>
        </is>
      </c>
      <c r="E30" s="23" t="inlineStr">
        <is>
          <t>ACT</t>
        </is>
      </c>
      <c r="F30" s="24" t="inlineStr"/>
      <c r="G30" s="24" t="inlineStr"/>
      <c r="H30" s="25" t="n">
        <v>0.494</v>
      </c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/>
      <c r="R30" s="25" t="n"/>
      <c r="S30" s="25" t="n">
        <v>0.714</v>
      </c>
      <c r="T30" s="26" t="n">
        <v>9.470000000000001</v>
      </c>
      <c r="U30" s="25" t="n"/>
      <c r="V30" s="25" t="n"/>
      <c r="W30" s="27" t="n">
        <v>17</v>
      </c>
      <c r="X30" s="28" t="n"/>
      <c r="Y30" s="28" t="n"/>
      <c r="Z30" s="28" t="n"/>
      <c r="AA30" s="28" t="n">
        <v>0.0007</v>
      </c>
      <c r="AB30" s="29" t="n"/>
      <c r="AC30" s="28" t="n"/>
      <c r="AD30" s="28" t="n">
        <v>0.0282</v>
      </c>
      <c r="AE30" s="28" t="n">
        <v>0.7143</v>
      </c>
      <c r="AF30" s="29" t="n">
        <v>9.470000000000001</v>
      </c>
      <c r="AG30" s="28" t="n">
        <v>0.036</v>
      </c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Dallas Goedert</t>
        </is>
      </c>
      <c r="C32" s="22" t="n">
        <v>1</v>
      </c>
      <c r="D32" s="22" t="inlineStr">
        <is>
          <t>31</t>
        </is>
      </c>
      <c r="E32" s="23" t="inlineStr">
        <is>
          <t>ACT</t>
        </is>
      </c>
      <c r="F32" s="24" t="inlineStr">
        <is>
          <t>PHI</t>
        </is>
      </c>
      <c r="G32" s="24" t="inlineStr">
        <is>
          <t>15</t>
        </is>
      </c>
      <c r="H32" s="25" t="n">
        <v>0.787</v>
      </c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>
        <v>0.1244</v>
      </c>
      <c r="R32" s="25" t="n">
        <v>0.1767</v>
      </c>
      <c r="S32" s="25" t="n">
        <v>0.744</v>
      </c>
      <c r="T32" s="26" t="n">
        <v>10.33</v>
      </c>
      <c r="U32" s="25" t="n">
        <v>0.2778</v>
      </c>
      <c r="V32" s="25" t="n">
        <v>0.4231</v>
      </c>
      <c r="W32" s="27" t="n">
        <v>17</v>
      </c>
      <c r="X32" s="28" t="n"/>
      <c r="Y32" s="28" t="n"/>
      <c r="Z32" s="28" t="n"/>
      <c r="AA32" s="28" t="n">
        <v>0.0018</v>
      </c>
      <c r="AB32" s="29" t="n"/>
      <c r="AC32" s="28" t="n"/>
      <c r="AD32" s="28" t="n">
        <v>0.1518</v>
      </c>
      <c r="AE32" s="28" t="n">
        <v>0.7445000000000001</v>
      </c>
      <c r="AF32" s="29" t="n">
        <v>10.43</v>
      </c>
      <c r="AG32" s="28" t="n">
        <v>0.2452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Eli Stowers</t>
        </is>
      </c>
      <c r="C33" s="35" t="n">
        <v>2</v>
      </c>
      <c r="D33" s="35" t="inlineStr">
        <is>
          <t>23</t>
        </is>
      </c>
      <c r="E33" s="36" t="inlineStr">
        <is>
          <t>QUESTIONABLE</t>
        </is>
      </c>
      <c r="F33" s="24" t="inlineStr"/>
      <c r="G33" s="24" t="inlineStr"/>
      <c r="H33" s="25" t="n"/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/>
      <c r="R33" s="25" t="n"/>
      <c r="S33" s="25" t="n"/>
      <c r="T33" s="26" t="n"/>
      <c r="U33" s="25" t="n"/>
      <c r="V33" s="25" t="n"/>
      <c r="W33" s="27" t="n">
        <v>17</v>
      </c>
      <c r="X33" s="28" t="n"/>
      <c r="Y33" s="28" t="n"/>
      <c r="Z33" s="28" t="n"/>
      <c r="AA33" s="28" t="n">
        <v>0.002</v>
      </c>
      <c r="AB33" s="29" t="n"/>
      <c r="AC33" s="28" t="n"/>
      <c r="AD33" s="28" t="n">
        <v>0.0416</v>
      </c>
      <c r="AE33" s="28" t="n">
        <v>0.65</v>
      </c>
      <c r="AF33" s="29" t="n">
        <v>10.32</v>
      </c>
      <c r="AG33" s="28" t="n"/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Johnny Mundt</t>
        </is>
      </c>
      <c r="C34" s="22" t="n">
        <v>3</v>
      </c>
      <c r="D34" s="22" t="inlineStr">
        <is>
          <t>31</t>
        </is>
      </c>
      <c r="E34" s="23" t="inlineStr">
        <is>
          <t>ACT</t>
        </is>
      </c>
      <c r="F34" s="24" t="inlineStr">
        <is>
          <t>JAC</t>
        </is>
      </c>
      <c r="G34" s="24" t="inlineStr">
        <is>
          <t>16</t>
        </is>
      </c>
      <c r="H34" s="25" t="n">
        <v>0.341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0.0522</v>
      </c>
      <c r="R34" s="25" t="n">
        <v>0.0347</v>
      </c>
      <c r="S34" s="25" t="n">
        <v>0.599</v>
      </c>
      <c r="T34" s="26" t="n">
        <v>8.529999999999999</v>
      </c>
      <c r="U34" s="25" t="n">
        <v>0.0128</v>
      </c>
      <c r="V34" s="25" t="n"/>
      <c r="W34" s="27" t="n">
        <v>17</v>
      </c>
      <c r="X34" s="28" t="n"/>
      <c r="Y34" s="28" t="n"/>
      <c r="Z34" s="28" t="n"/>
      <c r="AA34" s="28" t="n">
        <v>0.002</v>
      </c>
      <c r="AB34" s="29" t="n"/>
      <c r="AC34" s="28" t="n"/>
      <c r="AD34" s="28" t="n">
        <v>0.0049</v>
      </c>
      <c r="AE34" s="28" t="n">
        <v>0.5995</v>
      </c>
      <c r="AF34" s="29" t="n">
        <v>9.44</v>
      </c>
      <c r="AG34" s="28" t="n">
        <v>0.0411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Cameron Latu</t>
        </is>
      </c>
      <c r="C35" s="35" t="n">
        <v>4</v>
      </c>
      <c r="D35" s="35" t="inlineStr">
        <is>
          <t>26</t>
        </is>
      </c>
      <c r="E35" s="42" t="inlineStr">
        <is>
          <t>ACT</t>
        </is>
      </c>
      <c r="F35" s="24" t="inlineStr"/>
      <c r="G35" s="24" t="inlineStr"/>
      <c r="H35" s="25" t="n">
        <v>0.111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0.0021</v>
      </c>
      <c r="AB35" s="29" t="n"/>
      <c r="AC35" s="28" t="n"/>
      <c r="AD35" s="28" t="n">
        <v>0.0051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PIT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1035</v>
      </c>
      <c r="D4" s="10">
        <f>$C$4/$B$4</f>
        <v/>
      </c>
      <c r="E4" s="11" t="n">
        <v>0.5556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988</v>
      </c>
      <c r="M4" s="14" t="n">
        <v>58.1176</v>
      </c>
      <c r="N4" s="15" t="n">
        <v>0.5881</v>
      </c>
      <c r="O4" s="13" t="n">
        <v>550</v>
      </c>
      <c r="P4" s="13" t="n">
        <v>407</v>
      </c>
      <c r="Q4" s="16" t="n">
        <v>6.6036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37.9</v>
      </c>
      <c r="C7" s="11" t="n">
        <v>0.4103</v>
      </c>
      <c r="D7" s="10">
        <f>$B$7*$C$7</f>
        <v/>
      </c>
      <c r="E7" s="10">
        <f>$B$7-$D$7</f>
        <v/>
      </c>
      <c r="F7" s="12" t="n">
        <v>3698</v>
      </c>
      <c r="G7" s="12" t="n">
        <v>1952</v>
      </c>
      <c r="H7" s="12">
        <f>$F$7</f>
        <v/>
      </c>
      <c r="L7" s="13" t="n">
        <v>3632</v>
      </c>
      <c r="M7" s="13" t="n">
        <v>1756</v>
      </c>
      <c r="N7" s="14" t="n">
        <v>26</v>
      </c>
      <c r="O7" s="14" t="n">
        <v>16</v>
      </c>
      <c r="P7" s="14" t="n">
        <v>42</v>
      </c>
      <c r="Q7" s="15" t="n">
        <v>0.3809523809523809</v>
      </c>
    </row>
    <row r="8"/>
    <row r="9">
      <c r="A9" s="5" t="inlineStr">
        <is>
          <t>NOTES</t>
        </is>
      </c>
      <c r="B9" s="18" t="inlineStr">
        <is>
          <t>44% of targets and 42% of carries left this roster.  NEW HC Mike McCarthy + OC Brian Angelichio. West Coast principles; moderate pass rates.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Aaron Rodgers</t>
        </is>
      </c>
      <c r="C12" s="22" t="n">
        <v>1</v>
      </c>
      <c r="D12" s="22" t="inlineStr">
        <is>
          <t>42</t>
        </is>
      </c>
      <c r="E12" s="23" t="inlineStr">
        <is>
          <t>ACT</t>
        </is>
      </c>
      <c r="F12" s="24" t="inlineStr">
        <is>
          <t>PIT</t>
        </is>
      </c>
      <c r="G12" s="24" t="inlineStr">
        <is>
          <t>16</t>
        </is>
      </c>
      <c r="H12" s="25" t="n">
        <v>0.781</v>
      </c>
      <c r="I12" s="25" t="n">
        <v>0.9055</v>
      </c>
      <c r="J12" s="25" t="n">
        <v>0.646</v>
      </c>
      <c r="K12" s="26" t="n">
        <v>6.67</v>
      </c>
      <c r="L12" s="25" t="n">
        <v>0.016</v>
      </c>
      <c r="M12" s="25" t="n">
        <v>0.0329</v>
      </c>
      <c r="N12" s="26" t="n"/>
      <c r="O12" s="25" t="n">
        <v>0.039</v>
      </c>
      <c r="P12" s="25" t="n">
        <v>0.0625</v>
      </c>
      <c r="Q12" s="25" t="n"/>
      <c r="R12" s="25" t="n">
        <v>0.0019</v>
      </c>
      <c r="S12" s="25" t="n"/>
      <c r="T12" s="26" t="n"/>
      <c r="U12" s="25" t="n"/>
      <c r="V12" s="25" t="n"/>
      <c r="W12" s="27" t="n">
        <v>17</v>
      </c>
      <c r="X12" s="28" t="n">
        <v>0.7316</v>
      </c>
      <c r="Y12" s="28" t="n">
        <v>0.646</v>
      </c>
      <c r="Z12" s="28" t="n">
        <v>0.016</v>
      </c>
      <c r="AA12" s="28" t="n">
        <v>0.0504</v>
      </c>
      <c r="AB12" s="29" t="n">
        <v>5.6</v>
      </c>
      <c r="AC12" s="28" t="n">
        <v>0.066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Mason Rudolph</t>
        </is>
      </c>
      <c r="C13" s="35" t="n">
        <v>2</v>
      </c>
      <c r="D13" s="35" t="inlineStr">
        <is>
          <t>31</t>
        </is>
      </c>
      <c r="E13" s="42" t="inlineStr">
        <is>
          <t>ACT</t>
        </is>
      </c>
      <c r="F13" s="24" t="inlineStr">
        <is>
          <t>PIT</t>
        </is>
      </c>
      <c r="G13" s="24" t="inlineStr">
        <is>
          <t>5</t>
        </is>
      </c>
      <c r="H13" s="25" t="n">
        <v>0.578</v>
      </c>
      <c r="I13" s="25" t="n">
        <v>0.0945</v>
      </c>
      <c r="J13" s="25" t="n">
        <v>0.694</v>
      </c>
      <c r="K13" s="26" t="n">
        <v>6.8</v>
      </c>
      <c r="L13" s="25" t="n">
        <v>0.033</v>
      </c>
      <c r="M13" s="25" t="n">
        <v>0.0076</v>
      </c>
      <c r="N13" s="26" t="n">
        <v>4.42</v>
      </c>
      <c r="O13" s="25" t="n">
        <v>0.013</v>
      </c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0.1947</v>
      </c>
      <c r="Y13" s="28" t="n">
        <v>0.694</v>
      </c>
      <c r="Z13" s="28" t="n">
        <v>0.033</v>
      </c>
      <c r="AA13" s="28" t="n">
        <v>0.0255</v>
      </c>
      <c r="AB13" s="29" t="n">
        <v>3.43</v>
      </c>
      <c r="AC13" s="28" t="n">
        <v>0.096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Drew Allar</t>
        </is>
      </c>
      <c r="C14" s="22" t="n">
        <v>3</v>
      </c>
      <c r="D14" s="22" t="inlineStr">
        <is>
          <t>22</t>
        </is>
      </c>
      <c r="E14" s="23" t="inlineStr">
        <is>
          <t>ACT</t>
        </is>
      </c>
      <c r="F14" s="24" t="inlineStr"/>
      <c r="G14" s="24" t="inlineStr"/>
      <c r="H14" s="25" t="n"/>
      <c r="I14" s="25" t="n"/>
      <c r="J14" s="25" t="n"/>
      <c r="K14" s="26" t="n"/>
      <c r="L14" s="25" t="n"/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0.0597</v>
      </c>
      <c r="Y14" s="28" t="n">
        <v>0.65</v>
      </c>
      <c r="Z14" s="28" t="n">
        <v>0.022</v>
      </c>
      <c r="AA14" s="28" t="n">
        <v>0.0147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Jaylen Warren</t>
        </is>
      </c>
      <c r="C16" s="22" t="n">
        <v>1</v>
      </c>
      <c r="D16" s="22" t="inlineStr">
        <is>
          <t>27</t>
        </is>
      </c>
      <c r="E16" s="23" t="inlineStr">
        <is>
          <t>ACT</t>
        </is>
      </c>
      <c r="F16" s="24" t="inlineStr">
        <is>
          <t>PIT</t>
        </is>
      </c>
      <c r="G16" s="24" t="inlineStr">
        <is>
          <t>16</t>
        </is>
      </c>
      <c r="H16" s="25" t="n">
        <v>0.486</v>
      </c>
      <c r="I16" s="25" t="n"/>
      <c r="J16" s="25" t="n"/>
      <c r="K16" s="26" t="n"/>
      <c r="L16" s="25" t="n"/>
      <c r="M16" s="25" t="n">
        <v>0.5342</v>
      </c>
      <c r="N16" s="26" t="n">
        <v>4.61</v>
      </c>
      <c r="O16" s="25" t="n">
        <v>0.5195</v>
      </c>
      <c r="P16" s="25" t="n">
        <v>0.375</v>
      </c>
      <c r="Q16" s="25" t="n">
        <v>0.1022</v>
      </c>
      <c r="R16" s="25" t="n">
        <v>0.0862</v>
      </c>
      <c r="S16" s="25" t="n">
        <v>0.852</v>
      </c>
      <c r="T16" s="26" t="n">
        <v>7.79</v>
      </c>
      <c r="U16" s="25" t="n">
        <v>0.06850000000000001</v>
      </c>
      <c r="V16" s="25" t="n">
        <v>0.0769</v>
      </c>
      <c r="W16" s="27" t="n">
        <v>17</v>
      </c>
      <c r="X16" s="28" t="n"/>
      <c r="Y16" s="28" t="n"/>
      <c r="Z16" s="28" t="n"/>
      <c r="AA16" s="28" t="n">
        <v>0.2867</v>
      </c>
      <c r="AB16" s="29" t="n">
        <v>4.69</v>
      </c>
      <c r="AC16" s="28" t="n">
        <v>0.2773</v>
      </c>
      <c r="AD16" s="28" t="n">
        <v>0.09089999999999999</v>
      </c>
      <c r="AE16" s="28" t="n">
        <v>0.8522999999999999</v>
      </c>
      <c r="AF16" s="29" t="n">
        <v>7.29</v>
      </c>
      <c r="AG16" s="28" t="n">
        <v>0.067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Rico Dowdle</t>
        </is>
      </c>
      <c r="C17" s="35" t="n">
        <v>2</v>
      </c>
      <c r="D17" s="35" t="inlineStr">
        <is>
          <t>28</t>
        </is>
      </c>
      <c r="E17" s="42" t="inlineStr">
        <is>
          <t>ACT</t>
        </is>
      </c>
      <c r="F17" s="24" t="inlineStr">
        <is>
          <t>CAR</t>
        </is>
      </c>
      <c r="G17" s="24" t="inlineStr">
        <is>
          <t>17</t>
        </is>
      </c>
      <c r="H17" s="25" t="n">
        <v>0.497</v>
      </c>
      <c r="I17" s="25" t="n"/>
      <c r="J17" s="25" t="n"/>
      <c r="K17" s="26" t="n"/>
      <c r="L17" s="25" t="n"/>
      <c r="M17" s="25" t="n">
        <v>0.5327</v>
      </c>
      <c r="N17" s="26" t="n">
        <v>4.47</v>
      </c>
      <c r="O17" s="25" t="n">
        <v>0.4762</v>
      </c>
      <c r="P17" s="25" t="n">
        <v>0.6667</v>
      </c>
      <c r="Q17" s="25" t="n">
        <v>0.0788</v>
      </c>
      <c r="R17" s="25" t="n">
        <v>0.1042</v>
      </c>
      <c r="S17" s="25" t="n">
        <v>0.783</v>
      </c>
      <c r="T17" s="26" t="n">
        <v>7.42</v>
      </c>
      <c r="U17" s="25" t="n">
        <v>0.0597</v>
      </c>
      <c r="V17" s="25" t="n">
        <v>0.0417</v>
      </c>
      <c r="W17" s="27" t="n">
        <v>17</v>
      </c>
      <c r="X17" s="28" t="n"/>
      <c r="Y17" s="28" t="n"/>
      <c r="Z17" s="28" t="n"/>
      <c r="AA17" s="28" t="n">
        <v>0.4824</v>
      </c>
      <c r="AB17" s="29" t="n">
        <v>4.49</v>
      </c>
      <c r="AC17" s="28" t="n">
        <v>0.4946</v>
      </c>
      <c r="AD17" s="28" t="n">
        <v>0.1202</v>
      </c>
      <c r="AE17" s="28" t="n">
        <v>0.7832</v>
      </c>
      <c r="AF17" s="29" t="n">
        <v>7.26</v>
      </c>
      <c r="AG17" s="28" t="n">
        <v>0.0612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Travis Homer</t>
        </is>
      </c>
      <c r="C18" s="22" t="n">
        <v>3</v>
      </c>
      <c r="D18" s="22" t="inlineStr">
        <is>
          <t>28</t>
        </is>
      </c>
      <c r="E18" s="23" t="inlineStr">
        <is>
          <t>ACT</t>
        </is>
      </c>
      <c r="F18" s="24" t="inlineStr">
        <is>
          <t>CHI</t>
        </is>
      </c>
      <c r="G18" s="24" t="inlineStr">
        <is>
          <t>10</t>
        </is>
      </c>
      <c r="H18" s="25" t="n">
        <v>0.082</v>
      </c>
      <c r="I18" s="25" t="n"/>
      <c r="J18" s="25" t="n"/>
      <c r="K18" s="26" t="n"/>
      <c r="L18" s="25" t="n"/>
      <c r="M18" s="25" t="n">
        <v>0.002</v>
      </c>
      <c r="N18" s="26" t="n"/>
      <c r="O18" s="25" t="n"/>
      <c r="P18" s="25" t="n"/>
      <c r="Q18" s="25" t="n">
        <v>0.0057</v>
      </c>
      <c r="R18" s="25" t="n"/>
      <c r="S18" s="25" t="n"/>
      <c r="T18" s="26" t="n"/>
      <c r="U18" s="25" t="n"/>
      <c r="V18" s="25" t="n"/>
      <c r="W18" s="27" t="n">
        <v>17</v>
      </c>
      <c r="X18" s="28" t="n"/>
      <c r="Y18" s="28" t="n"/>
      <c r="Z18" s="28" t="n"/>
      <c r="AA18" s="28" t="n">
        <v>0.0042</v>
      </c>
      <c r="AB18" s="29" t="n">
        <v>3</v>
      </c>
      <c r="AC18" s="28" t="n"/>
      <c r="AD18" s="28" t="n">
        <v>0.0036</v>
      </c>
      <c r="AE18" s="28" t="n">
        <v>1</v>
      </c>
      <c r="AF18" s="29" t="n">
        <v>7.13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Lew Nichols</t>
        </is>
      </c>
      <c r="C19" s="35" t="n">
        <v>4</v>
      </c>
      <c r="D19" s="35" t="inlineStr">
        <is>
          <t>25</t>
        </is>
      </c>
      <c r="E19" s="42" t="inlineStr">
        <is>
          <t>ACT</t>
        </is>
      </c>
      <c r="F19" s="24" t="inlineStr"/>
      <c r="G19" s="24" t="inlineStr"/>
      <c r="H19" s="25" t="n"/>
      <c r="I19" s="25" t="n"/>
      <c r="J19" s="25" t="n"/>
      <c r="K19" s="26" t="n"/>
      <c r="L19" s="25" t="n"/>
      <c r="M19" s="25" t="n"/>
      <c r="N19" s="26" t="n"/>
      <c r="O19" s="25" t="n"/>
      <c r="P19" s="25" t="n"/>
      <c r="Q19" s="25" t="n"/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0.009900000000000001</v>
      </c>
      <c r="AB19" s="29" t="n">
        <v>4.13</v>
      </c>
      <c r="AC19" s="28" t="n"/>
      <c r="AD19" s="28" t="n">
        <v>0.0048</v>
      </c>
      <c r="AE19" s="28" t="n">
        <v>0.75</v>
      </c>
      <c r="AF19" s="29" t="n">
        <v>7.13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Eli Heidenreich</t>
        </is>
      </c>
      <c r="C20" s="22" t="n">
        <v>5</v>
      </c>
      <c r="D20" s="22" t="inlineStr">
        <is>
          <t>23</t>
        </is>
      </c>
      <c r="E20" s="23" t="inlineStr">
        <is>
          <t>ACT</t>
        </is>
      </c>
      <c r="F20" s="24" t="inlineStr"/>
      <c r="G20" s="24" t="inlineStr"/>
      <c r="H20" s="25" t="n"/>
      <c r="I20" s="25" t="n"/>
      <c r="J20" s="25" t="n"/>
      <c r="K20" s="26" t="n"/>
      <c r="L20" s="25" t="n"/>
      <c r="M20" s="25" t="n"/>
      <c r="N20" s="26" t="n"/>
      <c r="O20" s="25" t="n"/>
      <c r="P20" s="25" t="n"/>
      <c r="Q20" s="25" t="n"/>
      <c r="R20" s="25" t="n"/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0.0541</v>
      </c>
      <c r="AB20" s="29" t="n">
        <v>4.13</v>
      </c>
      <c r="AC20" s="28" t="n"/>
      <c r="AD20" s="28" t="n">
        <v>0.0276</v>
      </c>
      <c r="AE20" s="28" t="n">
        <v>0.75</v>
      </c>
      <c r="AF20" s="29" t="n">
        <v>7.13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DK Metcalf</t>
        </is>
      </c>
      <c r="C23" s="35" t="n">
        <v>1</v>
      </c>
      <c r="D23" s="35" t="inlineStr">
        <is>
          <t>28</t>
        </is>
      </c>
      <c r="E23" s="36" t="inlineStr">
        <is>
          <t>QUESTIONABLE</t>
        </is>
      </c>
      <c r="F23" s="24" t="inlineStr">
        <is>
          <t>PIT</t>
        </is>
      </c>
      <c r="G23" s="24" t="inlineStr">
        <is>
          <t>15</t>
        </is>
      </c>
      <c r="H23" s="25" t="n">
        <v>0.863</v>
      </c>
      <c r="I23" s="25" t="n"/>
      <c r="J23" s="25" t="n"/>
      <c r="K23" s="26" t="n"/>
      <c r="L23" s="25" t="n"/>
      <c r="M23" s="25" t="n">
        <v>0.0051</v>
      </c>
      <c r="N23" s="26" t="n"/>
      <c r="O23" s="25" t="n">
        <v>0.013</v>
      </c>
      <c r="P23" s="25" t="n">
        <v>0.0625</v>
      </c>
      <c r="Q23" s="25" t="n">
        <v>0.1898</v>
      </c>
      <c r="R23" s="25" t="n">
        <v>0.1897</v>
      </c>
      <c r="S23" s="25" t="n">
        <v>0.592</v>
      </c>
      <c r="T23" s="26" t="n">
        <v>15.11</v>
      </c>
      <c r="U23" s="25" t="n">
        <v>0.1781</v>
      </c>
      <c r="V23" s="25" t="n">
        <v>0.2308</v>
      </c>
      <c r="W23" s="27" t="n">
        <v>17</v>
      </c>
      <c r="X23" s="28" t="n"/>
      <c r="Y23" s="28" t="n"/>
      <c r="Z23" s="28" t="n"/>
      <c r="AA23" s="28" t="n">
        <v>0.0081</v>
      </c>
      <c r="AB23" s="29" t="n">
        <v>6</v>
      </c>
      <c r="AC23" s="28" t="n">
        <v>0.066</v>
      </c>
      <c r="AD23" s="28" t="n">
        <v>0.2075</v>
      </c>
      <c r="AE23" s="28" t="n">
        <v>0.5917</v>
      </c>
      <c r="AF23" s="29" t="n">
        <v>15.48</v>
      </c>
      <c r="AG23" s="28" t="n">
        <v>0.2246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Michael Pittman</t>
        </is>
      </c>
      <c r="C24" s="22" t="n">
        <v>2</v>
      </c>
      <c r="D24" s="22" t="inlineStr">
        <is>
          <t>28</t>
        </is>
      </c>
      <c r="E24" s="41" t="inlineStr">
        <is>
          <t>QUESTIONABLE</t>
        </is>
      </c>
      <c r="F24" s="24" t="inlineStr">
        <is>
          <t>IND</t>
        </is>
      </c>
      <c r="G24" s="24" t="inlineStr">
        <is>
          <t>17</t>
        </is>
      </c>
      <c r="H24" s="25" t="n">
        <v>0.875</v>
      </c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>
        <v>0.2256</v>
      </c>
      <c r="R24" s="25" t="n">
        <v>0.2094</v>
      </c>
      <c r="S24" s="25" t="n">
        <v>0.6879999999999999</v>
      </c>
      <c r="T24" s="26" t="n">
        <v>10.5</v>
      </c>
      <c r="U24" s="25" t="n">
        <v>0.1739</v>
      </c>
      <c r="V24" s="25" t="n">
        <v>0.28</v>
      </c>
      <c r="W24" s="27" t="n">
        <v>17</v>
      </c>
      <c r="X24" s="28" t="n"/>
      <c r="Y24" s="28" t="n"/>
      <c r="Z24" s="28" t="n"/>
      <c r="AA24" s="28" t="n">
        <v>0.0063</v>
      </c>
      <c r="AB24" s="29" t="n"/>
      <c r="AC24" s="28" t="n"/>
      <c r="AD24" s="28" t="n">
        <v>0.1423</v>
      </c>
      <c r="AE24" s="28" t="n">
        <v>0.6876</v>
      </c>
      <c r="AF24" s="29" t="n">
        <v>10.64</v>
      </c>
      <c r="AG24" s="28" t="n">
        <v>0.2014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Germie Bernard</t>
        </is>
      </c>
      <c r="C25" s="35" t="n">
        <v>3</v>
      </c>
      <c r="D25" s="35" t="inlineStr">
        <is>
          <t>22</t>
        </is>
      </c>
      <c r="E25" s="42" t="inlineStr">
        <is>
          <t>ACT</t>
        </is>
      </c>
      <c r="F25" s="24" t="inlineStr"/>
      <c r="G25" s="24" t="inlineStr"/>
      <c r="H25" s="25" t="n"/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/>
      <c r="R25" s="25" t="n"/>
      <c r="S25" s="25" t="n"/>
      <c r="T25" s="26" t="n"/>
      <c r="U25" s="25" t="n"/>
      <c r="V25" s="25" t="n"/>
      <c r="W25" s="27" t="n">
        <v>17</v>
      </c>
      <c r="X25" s="28" t="n"/>
      <c r="Y25" s="28" t="n"/>
      <c r="Z25" s="28" t="n"/>
      <c r="AA25" s="28" t="n">
        <v>0.0036</v>
      </c>
      <c r="AB25" s="29" t="n"/>
      <c r="AC25" s="28" t="n"/>
      <c r="AD25" s="28" t="n">
        <v>0.0863</v>
      </c>
      <c r="AE25" s="28" t="n">
        <v>0.65</v>
      </c>
      <c r="AF25" s="29" t="n">
        <v>12.84</v>
      </c>
      <c r="AG25" s="28" t="n"/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Roman Wilson</t>
        </is>
      </c>
      <c r="C26" s="22" t="n">
        <v>4</v>
      </c>
      <c r="D26" s="22" t="inlineStr">
        <is>
          <t>25</t>
        </is>
      </c>
      <c r="E26" s="23" t="inlineStr">
        <is>
          <t>ACT</t>
        </is>
      </c>
      <c r="F26" s="24" t="inlineStr">
        <is>
          <t>PIT</t>
        </is>
      </c>
      <c r="G26" s="24" t="inlineStr">
        <is>
          <t>13</t>
        </is>
      </c>
      <c r="H26" s="25" t="n">
        <v>0.233</v>
      </c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/>
      <c r="R26" s="25" t="n">
        <v>0.0402</v>
      </c>
      <c r="S26" s="25" t="n">
        <v>0.571</v>
      </c>
      <c r="T26" s="26" t="n">
        <v>13.83</v>
      </c>
      <c r="U26" s="25" t="n">
        <v>0.0137</v>
      </c>
      <c r="V26" s="25" t="n">
        <v>0.0769</v>
      </c>
      <c r="W26" s="27" t="n">
        <v>17</v>
      </c>
      <c r="X26" s="28" t="n"/>
      <c r="Y26" s="28" t="n"/>
      <c r="Z26" s="28" t="n"/>
      <c r="AA26" s="28" t="n">
        <v>0.0008</v>
      </c>
      <c r="AB26" s="29" t="n"/>
      <c r="AC26" s="28" t="n"/>
      <c r="AD26" s="28" t="n">
        <v>0.0427</v>
      </c>
      <c r="AE26" s="28" t="n">
        <v>0.5714</v>
      </c>
      <c r="AF26" s="29" t="n">
        <v>13.83</v>
      </c>
      <c r="AG26" s="28" t="n">
        <v>0.067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Ben Skowronek</t>
        </is>
      </c>
      <c r="C27" s="35" t="n">
        <v>5</v>
      </c>
      <c r="D27" s="35" t="inlineStr">
        <is>
          <t>29</t>
        </is>
      </c>
      <c r="E27" s="42" t="inlineStr">
        <is>
          <t>ACT</t>
        </is>
      </c>
      <c r="F27" s="24" t="inlineStr">
        <is>
          <t>PIT</t>
        </is>
      </c>
      <c r="G27" s="24" t="inlineStr">
        <is>
          <t>17</t>
        </is>
      </c>
      <c r="H27" s="25" t="n">
        <v>0.171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>
        <v>0.0109</v>
      </c>
      <c r="R27" s="25" t="n">
        <v>0.0115</v>
      </c>
      <c r="S27" s="25" t="n"/>
      <c r="T27" s="26" t="n"/>
      <c r="U27" s="25" t="n">
        <v>0.0137</v>
      </c>
      <c r="V27" s="25" t="n">
        <v>0.0385</v>
      </c>
      <c r="W27" s="27" t="n">
        <v>17</v>
      </c>
      <c r="X27" s="28" t="n"/>
      <c r="Y27" s="28" t="n"/>
      <c r="Z27" s="28" t="n"/>
      <c r="AA27" s="28" t="n">
        <v>0.0032</v>
      </c>
      <c r="AB27" s="29" t="n">
        <v>4.5</v>
      </c>
      <c r="AC27" s="28" t="n"/>
      <c r="AD27" s="28" t="n">
        <v>0.0167</v>
      </c>
      <c r="AE27" s="28" t="n">
        <v>0.7338</v>
      </c>
      <c r="AF27" s="29" t="n">
        <v>12</v>
      </c>
      <c r="AG27" s="28" t="n">
        <v>0.0336</v>
      </c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Kaden Wetjen</t>
        </is>
      </c>
      <c r="C28" s="22" t="n">
        <v>6</v>
      </c>
      <c r="D28" s="22" t="inlineStr">
        <is>
          <t>24</t>
        </is>
      </c>
      <c r="E28" s="23" t="inlineStr">
        <is>
          <t>ACT</t>
        </is>
      </c>
      <c r="F28" s="24" t="inlineStr"/>
      <c r="G28" s="24" t="inlineStr"/>
      <c r="H28" s="25" t="n"/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/>
      <c r="R28" s="25" t="n"/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0.002</v>
      </c>
      <c r="AB28" s="29" t="n"/>
      <c r="AC28" s="28" t="n"/>
      <c r="AD28" s="28" t="n">
        <v>0.0105</v>
      </c>
      <c r="AE28" s="28" t="n">
        <v>0.65</v>
      </c>
      <c r="AF28" s="29" t="n">
        <v>12.84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Brandon Smith</t>
        </is>
      </c>
      <c r="C29" s="35" t="n">
        <v>7</v>
      </c>
      <c r="D29" s="35" t="inlineStr">
        <is>
          <t>27</t>
        </is>
      </c>
      <c r="E29" s="36" t="inlineStr">
        <is>
          <t>QUESTIONABLE</t>
        </is>
      </c>
      <c r="F29" s="24" t="inlineStr"/>
      <c r="G29" s="24" t="inlineStr"/>
      <c r="H29" s="25" t="n">
        <v>0.076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/>
      <c r="R29" s="25" t="n"/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0.002</v>
      </c>
      <c r="AB29" s="29" t="n"/>
      <c r="AC29" s="28" t="n"/>
      <c r="AD29" s="28" t="n">
        <v>0.0051</v>
      </c>
      <c r="AE29" s="28" t="n">
        <v>0.65</v>
      </c>
      <c r="AF29" s="29" t="n">
        <v>12.84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40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Pat Freiermuth</t>
        </is>
      </c>
      <c r="C32" s="22" t="n">
        <v>1</v>
      </c>
      <c r="D32" s="22" t="inlineStr">
        <is>
          <t>27</t>
        </is>
      </c>
      <c r="E32" s="23" t="inlineStr">
        <is>
          <t>ACT</t>
        </is>
      </c>
      <c r="F32" s="24" t="inlineStr">
        <is>
          <t>PIT</t>
        </is>
      </c>
      <c r="G32" s="24" t="inlineStr">
        <is>
          <t>17</t>
        </is>
      </c>
      <c r="H32" s="25" t="n">
        <v>0.587</v>
      </c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>
        <v>0.1696</v>
      </c>
      <c r="R32" s="25" t="n">
        <v>0.1034</v>
      </c>
      <c r="S32" s="25" t="n">
        <v>0.771</v>
      </c>
      <c r="T32" s="26" t="n">
        <v>10.94</v>
      </c>
      <c r="U32" s="25" t="n">
        <v>0.1233</v>
      </c>
      <c r="V32" s="25" t="n">
        <v>0.1538</v>
      </c>
      <c r="W32" s="27" t="n">
        <v>17</v>
      </c>
      <c r="X32" s="28" t="n"/>
      <c r="Y32" s="28" t="n"/>
      <c r="Z32" s="28" t="n"/>
      <c r="AA32" s="28" t="n">
        <v>0.0048</v>
      </c>
      <c r="AB32" s="29" t="n"/>
      <c r="AC32" s="28" t="n"/>
      <c r="AD32" s="28" t="n">
        <v>0.1304</v>
      </c>
      <c r="AE32" s="28" t="n">
        <v>0.7711</v>
      </c>
      <c r="AF32" s="29" t="n">
        <v>10.49</v>
      </c>
      <c r="AG32" s="28" t="n">
        <v>0.184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Darnell Washington</t>
        </is>
      </c>
      <c r="C33" s="35" t="n">
        <v>2</v>
      </c>
      <c r="D33" s="35" t="inlineStr">
        <is>
          <t>25</t>
        </is>
      </c>
      <c r="E33" s="42" t="inlineStr">
        <is>
          <t>ACT</t>
        </is>
      </c>
      <c r="F33" s="24" t="inlineStr">
        <is>
          <t>PIT</t>
        </is>
      </c>
      <c r="G33" s="24" t="inlineStr">
        <is>
          <t>16</t>
        </is>
      </c>
      <c r="H33" s="25" t="n">
        <v>0.535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0.0543</v>
      </c>
      <c r="R33" s="25" t="n">
        <v>0.0824</v>
      </c>
      <c r="S33" s="25" t="n">
        <v>0.736</v>
      </c>
      <c r="T33" s="26" t="n">
        <v>11.27</v>
      </c>
      <c r="U33" s="25" t="n">
        <v>0.1096</v>
      </c>
      <c r="V33" s="25" t="n">
        <v>0.0385</v>
      </c>
      <c r="W33" s="27" t="n">
        <v>17</v>
      </c>
      <c r="X33" s="28" t="n"/>
      <c r="Y33" s="28" t="n"/>
      <c r="Z33" s="28" t="n"/>
      <c r="AA33" s="28" t="n">
        <v>0.0008</v>
      </c>
      <c r="AB33" s="29" t="n"/>
      <c r="AC33" s="28" t="n"/>
      <c r="AD33" s="28" t="n">
        <v>0.0589</v>
      </c>
      <c r="AE33" s="28" t="n">
        <v>0.7287</v>
      </c>
      <c r="AF33" s="29" t="n">
        <v>10.96</v>
      </c>
      <c r="AG33" s="28" t="n">
        <v>0.0366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Robert Tonyan</t>
        </is>
      </c>
      <c r="C34" s="22" t="n">
        <v>3</v>
      </c>
      <c r="D34" s="22" t="inlineStr">
        <is>
          <t>32</t>
        </is>
      </c>
      <c r="E34" s="23" t="inlineStr">
        <is>
          <t>ACT</t>
        </is>
      </c>
      <c r="F34" s="24" t="inlineStr">
        <is>
          <t>KC</t>
        </is>
      </c>
      <c r="G34" s="24" t="inlineStr">
        <is>
          <t>17</t>
        </is>
      </c>
      <c r="H34" s="25" t="n">
        <v>0.129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/>
      <c r="R34" s="25" t="n">
        <v>0.0018</v>
      </c>
      <c r="S34" s="25" t="n">
        <v>0.647</v>
      </c>
      <c r="T34" s="26" t="n"/>
      <c r="U34" s="25" t="n"/>
      <c r="V34" s="25" t="n"/>
      <c r="W34" s="27" t="n">
        <v>17</v>
      </c>
      <c r="X34" s="28" t="n"/>
      <c r="Y34" s="28" t="n"/>
      <c r="Z34" s="28" t="n"/>
      <c r="AA34" s="28" t="n">
        <v>0.0025</v>
      </c>
      <c r="AB34" s="29" t="n"/>
      <c r="AC34" s="28" t="n"/>
      <c r="AD34" s="28" t="n">
        <v>0.0288</v>
      </c>
      <c r="AE34" s="28" t="n">
        <v>0.8992</v>
      </c>
      <c r="AF34" s="29" t="n">
        <v>10.32</v>
      </c>
      <c r="AG34" s="28" t="n"/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Riley Nowakowski</t>
        </is>
      </c>
      <c r="C35" s="35" t="n">
        <v>4</v>
      </c>
      <c r="D35" s="35" t="inlineStr">
        <is>
          <t>24</t>
        </is>
      </c>
      <c r="E35" s="42" t="inlineStr">
        <is>
          <t>ACT</t>
        </is>
      </c>
      <c r="F35" s="24" t="inlineStr"/>
      <c r="G35" s="24" t="inlineStr"/>
      <c r="H35" s="25" t="n"/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0.0025</v>
      </c>
      <c r="AB35" s="29" t="n"/>
      <c r="AC35" s="28" t="n"/>
      <c r="AD35" s="28" t="n">
        <v>0.0073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SEA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1030</v>
      </c>
      <c r="D4" s="10">
        <f>$C$4/$B$4</f>
        <v/>
      </c>
      <c r="E4" s="11" t="n">
        <v>0.5629999999999999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1015</v>
      </c>
      <c r="M4" s="14" t="n">
        <v>59.7059</v>
      </c>
      <c r="N4" s="15" t="n">
        <v>0.5004999999999999</v>
      </c>
      <c r="O4" s="13" t="n">
        <v>481</v>
      </c>
      <c r="P4" s="13" t="n">
        <v>507</v>
      </c>
      <c r="Q4" s="16" t="n">
        <v>8.446999999999999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43.7</v>
      </c>
      <c r="C7" s="11" t="n">
        <v>0.4</v>
      </c>
      <c r="D7" s="10">
        <f>$B$7*$C$7</f>
        <v/>
      </c>
      <c r="E7" s="10">
        <f>$B$7-$D$7</f>
        <v/>
      </c>
      <c r="F7" s="12" t="n">
        <v>4143</v>
      </c>
      <c r="G7" s="12" t="n">
        <v>1900</v>
      </c>
      <c r="H7" s="12">
        <f>$F$7</f>
        <v/>
      </c>
      <c r="L7" s="13" t="n">
        <v>4063</v>
      </c>
      <c r="M7" s="13" t="n">
        <v>2096</v>
      </c>
      <c r="N7" s="14" t="n">
        <v>25</v>
      </c>
      <c r="O7" s="14" t="n">
        <v>19</v>
      </c>
      <c r="P7" s="14" t="n">
        <v>44</v>
      </c>
      <c r="Q7" s="15" t="n">
        <v>0.4318181818181818</v>
      </c>
    </row>
    <row r="8"/>
    <row r="9">
      <c r="A9" s="5" t="inlineStr">
        <is>
          <t>NOTES</t>
        </is>
      </c>
      <c r="B9" s="18" t="inlineStr">
        <is>
          <t>8% of targets and 45% of carries left this roster.  HC unchanged. OC Brian Fleury. Lot of the same stuff as his predecessor; similar personnel deployment.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Sam Darnold</t>
        </is>
      </c>
      <c r="C12" s="22" t="n">
        <v>1</v>
      </c>
      <c r="D12" s="22" t="inlineStr">
        <is>
          <t>29</t>
        </is>
      </c>
      <c r="E12" s="23" t="inlineStr">
        <is>
          <t>ACT</t>
        </is>
      </c>
      <c r="F12" s="24" t="inlineStr">
        <is>
          <t>SEA</t>
        </is>
      </c>
      <c r="G12" s="24" t="inlineStr">
        <is>
          <t>17</t>
        </is>
      </c>
      <c r="H12" s="25" t="n">
        <v>0.82</v>
      </c>
      <c r="I12" s="25" t="n">
        <v>0.9917</v>
      </c>
      <c r="J12" s="25" t="n">
        <v>0.664</v>
      </c>
      <c r="K12" s="26" t="n">
        <v>8.039999999999999</v>
      </c>
      <c r="L12" s="25" t="n">
        <v>0.026</v>
      </c>
      <c r="M12" s="25" t="n">
        <v>0.0449</v>
      </c>
      <c r="N12" s="26" t="n">
        <v>4.47</v>
      </c>
      <c r="O12" s="25" t="n">
        <v>0.0638</v>
      </c>
      <c r="P12" s="25" t="n"/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0.8449</v>
      </c>
      <c r="Y12" s="28" t="n">
        <v>0.664</v>
      </c>
      <c r="Z12" s="28" t="n">
        <v>0.026</v>
      </c>
      <c r="AA12" s="28" t="n">
        <v>0.065</v>
      </c>
      <c r="AB12" s="29" t="n">
        <v>4.29</v>
      </c>
      <c r="AC12" s="28" t="n">
        <v>0.0832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Drew Lock</t>
        </is>
      </c>
      <c r="C13" s="35" t="n">
        <v>2</v>
      </c>
      <c r="D13" s="35" t="inlineStr">
        <is>
          <t>29</t>
        </is>
      </c>
      <c r="E13" s="42" t="inlineStr">
        <is>
          <t>ACT</t>
        </is>
      </c>
      <c r="F13" s="24" t="inlineStr">
        <is>
          <t>SEA</t>
        </is>
      </c>
      <c r="G13" s="24" t="inlineStr">
        <is>
          <t>5</t>
        </is>
      </c>
      <c r="H13" s="25" t="n">
        <v>0.41</v>
      </c>
      <c r="I13" s="25" t="n">
        <v>0.0062</v>
      </c>
      <c r="J13" s="25" t="n">
        <v>0.601</v>
      </c>
      <c r="K13" s="26" t="n">
        <v>6.22</v>
      </c>
      <c r="L13" s="25" t="n">
        <v>0.031</v>
      </c>
      <c r="M13" s="25" t="n">
        <v>0.0041</v>
      </c>
      <c r="N13" s="26" t="n"/>
      <c r="O13" s="25" t="n"/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0.1446</v>
      </c>
      <c r="Y13" s="28" t="n">
        <v>0.601</v>
      </c>
      <c r="Z13" s="28" t="n">
        <v>0.031</v>
      </c>
      <c r="AA13" s="28" t="n">
        <v>0.0133</v>
      </c>
      <c r="AB13" s="29" t="n">
        <v>4.5</v>
      </c>
      <c r="AC13" s="28" t="n">
        <v>0.1418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Jalen Milroe</t>
        </is>
      </c>
      <c r="C14" s="22" t="n">
        <v>3</v>
      </c>
      <c r="D14" s="22" t="inlineStr">
        <is>
          <t>23</t>
        </is>
      </c>
      <c r="E14" s="23" t="inlineStr">
        <is>
          <t>ACT</t>
        </is>
      </c>
      <c r="F14" s="24" t="inlineStr">
        <is>
          <t>SEA</t>
        </is>
      </c>
      <c r="G14" s="24" t="inlineStr">
        <is>
          <t>3</t>
        </is>
      </c>
      <c r="H14" s="25" t="n">
        <v>0.02</v>
      </c>
      <c r="I14" s="25" t="n"/>
      <c r="J14" s="25" t="n"/>
      <c r="K14" s="26" t="n"/>
      <c r="L14" s="25" t="n"/>
      <c r="M14" s="25" t="n">
        <v>0.0061</v>
      </c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/>
      <c r="Y14" s="28" t="n">
        <v>0.65</v>
      </c>
      <c r="Z14" s="28" t="n">
        <v>0.022</v>
      </c>
      <c r="AA14" s="28" t="n">
        <v>0.0063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Jadarian Price</t>
        </is>
      </c>
      <c r="C16" s="22" t="n">
        <v>1</v>
      </c>
      <c r="D16" s="22" t="inlineStr">
        <is>
          <t>22</t>
        </is>
      </c>
      <c r="E16" s="23" t="inlineStr">
        <is>
          <t>ACT</t>
        </is>
      </c>
      <c r="F16" s="24" t="inlineStr"/>
      <c r="G16" s="24" t="inlineStr"/>
      <c r="H16" s="25" t="n"/>
      <c r="I16" s="25" t="n"/>
      <c r="J16" s="25" t="n"/>
      <c r="K16" s="26" t="n"/>
      <c r="L16" s="25" t="n"/>
      <c r="M16" s="25" t="n"/>
      <c r="N16" s="26" t="n"/>
      <c r="O16" s="25" t="n"/>
      <c r="P16" s="25" t="n"/>
      <c r="Q16" s="25" t="n"/>
      <c r="R16" s="25" t="n"/>
      <c r="S16" s="25" t="n"/>
      <c r="T16" s="26" t="n"/>
      <c r="U16" s="25" t="n"/>
      <c r="V16" s="25" t="n"/>
      <c r="W16" s="27" t="n">
        <v>17</v>
      </c>
      <c r="X16" s="28" t="n"/>
      <c r="Y16" s="28" t="n"/>
      <c r="Z16" s="28" t="n"/>
      <c r="AA16" s="28" t="n">
        <v>0.463</v>
      </c>
      <c r="AB16" s="29" t="n">
        <v>4.13</v>
      </c>
      <c r="AC16" s="28" t="n"/>
      <c r="AD16" s="28" t="n">
        <v>0.0877</v>
      </c>
      <c r="AE16" s="28" t="n">
        <v>0.75</v>
      </c>
      <c r="AF16" s="29" t="n">
        <v>7.13</v>
      </c>
      <c r="AG16" s="28" t="n"/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Zach Charbonnet</t>
        </is>
      </c>
      <c r="C17" s="35" t="n">
        <v>2</v>
      </c>
      <c r="D17" s="35" t="inlineStr">
        <is>
          <t>25</t>
        </is>
      </c>
      <c r="E17" s="36" t="inlineStr">
        <is>
          <t>PUP</t>
        </is>
      </c>
      <c r="F17" s="24" t="inlineStr">
        <is>
          <t>SEA</t>
        </is>
      </c>
      <c r="G17" s="24" t="inlineStr">
        <is>
          <t>16</t>
        </is>
      </c>
      <c r="H17" s="25" t="n">
        <v>0.497</v>
      </c>
      <c r="I17" s="25" t="n"/>
      <c r="J17" s="25" t="n"/>
      <c r="K17" s="26" t="n"/>
      <c r="L17" s="25" t="n"/>
      <c r="M17" s="25" t="n">
        <v>0.3755</v>
      </c>
      <c r="N17" s="26" t="n">
        <v>4.11</v>
      </c>
      <c r="O17" s="25" t="n">
        <v>0.5319</v>
      </c>
      <c r="P17" s="25" t="n">
        <v>0.6316000000000001</v>
      </c>
      <c r="Q17" s="25" t="n">
        <v>0.0914</v>
      </c>
      <c r="R17" s="25" t="n">
        <v>0.0527</v>
      </c>
      <c r="S17" s="25" t="n">
        <v>0.824</v>
      </c>
      <c r="T17" s="26" t="n">
        <v>7.31</v>
      </c>
      <c r="U17" s="25" t="n">
        <v>0.0484</v>
      </c>
      <c r="V17" s="25" t="n"/>
      <c r="W17" s="27" t="n">
        <v>17</v>
      </c>
      <c r="X17" s="28" t="n"/>
      <c r="Y17" s="28" t="n"/>
      <c r="Z17" s="28" t="n"/>
      <c r="AA17" s="28" t="n">
        <v>0.305</v>
      </c>
      <c r="AB17" s="29" t="n">
        <v>4.12</v>
      </c>
      <c r="AC17" s="28" t="n">
        <v>0.438</v>
      </c>
      <c r="AD17" s="28" t="n">
        <v>0.0631</v>
      </c>
      <c r="AE17" s="28" t="n">
        <v>0.8237</v>
      </c>
      <c r="AF17" s="29" t="n">
        <v>7.29</v>
      </c>
      <c r="AG17" s="28" t="n">
        <v>0.0325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Emanuel Wilson</t>
        </is>
      </c>
      <c r="C18" s="22" t="n">
        <v>3</v>
      </c>
      <c r="D18" s="22" t="inlineStr">
        <is>
          <t>27</t>
        </is>
      </c>
      <c r="E18" s="41" t="inlineStr">
        <is>
          <t>QUESTIONABLE</t>
        </is>
      </c>
      <c r="F18" s="24" t="inlineStr">
        <is>
          <t>GB</t>
        </is>
      </c>
      <c r="G18" s="24" t="inlineStr">
        <is>
          <t>17</t>
        </is>
      </c>
      <c r="H18" s="25" t="n">
        <v>0.241</v>
      </c>
      <c r="I18" s="25" t="n"/>
      <c r="J18" s="25" t="n"/>
      <c r="K18" s="26" t="n"/>
      <c r="L18" s="25" t="n"/>
      <c r="M18" s="25" t="n">
        <v>0.2637</v>
      </c>
      <c r="N18" s="26" t="n">
        <v>4.31</v>
      </c>
      <c r="O18" s="25" t="n">
        <v>0.2697</v>
      </c>
      <c r="P18" s="25" t="n">
        <v>0.1667</v>
      </c>
      <c r="Q18" s="25" t="n">
        <v>0.0302</v>
      </c>
      <c r="R18" s="25" t="n">
        <v>0.037</v>
      </c>
      <c r="S18" s="25" t="n">
        <v>0.882</v>
      </c>
      <c r="T18" s="26" t="n">
        <v>6.6</v>
      </c>
      <c r="U18" s="25" t="n">
        <v>0.0308</v>
      </c>
      <c r="V18" s="25" t="n"/>
      <c r="W18" s="27" t="n">
        <v>17</v>
      </c>
      <c r="X18" s="28" t="n"/>
      <c r="Y18" s="28" t="n"/>
      <c r="Z18" s="28" t="n"/>
      <c r="AA18" s="28" t="n">
        <v>0.0576</v>
      </c>
      <c r="AB18" s="29" t="n">
        <v>4.48</v>
      </c>
      <c r="AC18" s="28" t="n">
        <v>0.1562</v>
      </c>
      <c r="AD18" s="28" t="n">
        <v>0.0135</v>
      </c>
      <c r="AE18" s="28" t="n">
        <v>0.8418</v>
      </c>
      <c r="AF18" s="29" t="n">
        <v>5.67</v>
      </c>
      <c r="AG18" s="28" t="n">
        <v>0.0244</v>
      </c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George Holani</t>
        </is>
      </c>
      <c r="C19" s="35" t="n">
        <v>4</v>
      </c>
      <c r="D19" s="35" t="inlineStr">
        <is>
          <t>26</t>
        </is>
      </c>
      <c r="E19" s="42" t="inlineStr">
        <is>
          <t>ACT</t>
        </is>
      </c>
      <c r="F19" s="24" t="inlineStr">
        <is>
          <t>SEA</t>
        </is>
      </c>
      <c r="G19" s="24" t="inlineStr">
        <is>
          <t>11</t>
        </is>
      </c>
      <c r="H19" s="25" t="n">
        <v>0.11</v>
      </c>
      <c r="I19" s="25" t="n"/>
      <c r="J19" s="25" t="n"/>
      <c r="K19" s="26" t="n"/>
      <c r="L19" s="25" t="n"/>
      <c r="M19" s="25" t="n">
        <v>0.0449</v>
      </c>
      <c r="N19" s="26" t="n">
        <v>3.32</v>
      </c>
      <c r="O19" s="25" t="n">
        <v>0.0426</v>
      </c>
      <c r="P19" s="25" t="n">
        <v>0.0526</v>
      </c>
      <c r="Q19" s="25" t="n">
        <v>0.0018</v>
      </c>
      <c r="R19" s="25" t="n">
        <v>0.0044</v>
      </c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0.0223</v>
      </c>
      <c r="AB19" s="29" t="n">
        <v>3.32</v>
      </c>
      <c r="AC19" s="28" t="n">
        <v>0.0485</v>
      </c>
      <c r="AD19" s="28" t="n">
        <v>0.0041</v>
      </c>
      <c r="AE19" s="28" t="n">
        <v>1</v>
      </c>
      <c r="AF19" s="29" t="n">
        <v>4.67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Jacardia Wright</t>
        </is>
      </c>
      <c r="C20" s="22" t="n">
        <v>5</v>
      </c>
      <c r="D20" s="22" t="inlineStr">
        <is>
          <t>25</t>
        </is>
      </c>
      <c r="E20" s="23" t="inlineStr">
        <is>
          <t>ACT</t>
        </is>
      </c>
      <c r="F20" s="24" t="inlineStr">
        <is>
          <t>SEA</t>
        </is>
      </c>
      <c r="G20" s="24" t="inlineStr">
        <is>
          <t>1</t>
        </is>
      </c>
      <c r="H20" s="25" t="n">
        <v>0.09</v>
      </c>
      <c r="I20" s="25" t="n"/>
      <c r="J20" s="25" t="n"/>
      <c r="K20" s="26" t="n"/>
      <c r="L20" s="25" t="n"/>
      <c r="M20" s="25" t="n">
        <v>0.0102</v>
      </c>
      <c r="N20" s="26" t="n"/>
      <c r="O20" s="25" t="n"/>
      <c r="P20" s="25" t="n"/>
      <c r="Q20" s="25" t="n"/>
      <c r="R20" s="25" t="n"/>
      <c r="S20" s="25" t="n"/>
      <c r="T20" s="26" t="n"/>
      <c r="U20" s="25" t="n"/>
      <c r="V20" s="25" t="n"/>
      <c r="W20" s="27" t="n">
        <v>17</v>
      </c>
      <c r="X20" s="28" t="n"/>
      <c r="Y20" s="28" t="n"/>
      <c r="Z20" s="28" t="n"/>
      <c r="AA20" s="28" t="n">
        <v>0.008800000000000001</v>
      </c>
      <c r="AB20" s="29" t="n">
        <v>4</v>
      </c>
      <c r="AC20" s="28" t="n"/>
      <c r="AD20" s="28" t="n">
        <v>0.0019</v>
      </c>
      <c r="AE20" s="28" t="n">
        <v>0.774</v>
      </c>
      <c r="AF20" s="29" t="n">
        <v>7.13</v>
      </c>
      <c r="AG20" s="28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inlineStr">
        <is>
          <t>Brock Lampe</t>
        </is>
      </c>
      <c r="C21" s="35" t="n">
        <v>6</v>
      </c>
      <c r="D21" s="35" t="inlineStr">
        <is>
          <t>23</t>
        </is>
      </c>
      <c r="E21" s="36" t="inlineStr">
        <is>
          <t>QUESTIONABLE</t>
        </is>
      </c>
      <c r="F21" s="24" t="inlineStr"/>
      <c r="G21" s="24" t="inlineStr"/>
      <c r="H21" s="25" t="n"/>
      <c r="I21" s="25" t="n"/>
      <c r="J21" s="25" t="n"/>
      <c r="K21" s="26" t="n"/>
      <c r="L21" s="25" t="n"/>
      <c r="M21" s="25" t="n"/>
      <c r="N21" s="26" t="n"/>
      <c r="O21" s="25" t="n"/>
      <c r="P21" s="25" t="n"/>
      <c r="Q21" s="25" t="n"/>
      <c r="R21" s="25" t="n"/>
      <c r="S21" s="25" t="n"/>
      <c r="T21" s="26" t="n"/>
      <c r="U21" s="25" t="n"/>
      <c r="V21" s="25" t="n"/>
      <c r="W21" s="27" t="n">
        <v>17</v>
      </c>
      <c r="X21" s="28" t="n"/>
      <c r="Y21" s="28" t="n"/>
      <c r="Z21" s="28" t="n"/>
      <c r="AA21" s="28" t="n">
        <v>0.0042</v>
      </c>
      <c r="AB21" s="29" t="n">
        <v>4.13</v>
      </c>
      <c r="AC21" s="28" t="n"/>
      <c r="AD21" s="28" t="n">
        <v>0.0035</v>
      </c>
      <c r="AE21" s="28" t="n">
        <v>0.75</v>
      </c>
      <c r="AF21" s="29" t="n">
        <v>7.13</v>
      </c>
      <c r="AG21" s="28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Jaxon Smith-Njigba</t>
        </is>
      </c>
      <c r="C23" s="35" t="n">
        <v>1</v>
      </c>
      <c r="D23" s="35" t="inlineStr">
        <is>
          <t>24</t>
        </is>
      </c>
      <c r="E23" s="42" t="inlineStr">
        <is>
          <t>ACT</t>
        </is>
      </c>
      <c r="F23" s="24" t="inlineStr">
        <is>
          <t>SEA</t>
        </is>
      </c>
      <c r="G23" s="24" t="inlineStr">
        <is>
          <t>17</t>
        </is>
      </c>
      <c r="H23" s="25" t="n">
        <v>0.776</v>
      </c>
      <c r="I23" s="25" t="n"/>
      <c r="J23" s="25" t="n"/>
      <c r="K23" s="26" t="n"/>
      <c r="L23" s="25" t="n"/>
      <c r="M23" s="25" t="n">
        <v>0.0143</v>
      </c>
      <c r="N23" s="26" t="n"/>
      <c r="O23" s="25" t="n"/>
      <c r="P23" s="25" t="n"/>
      <c r="Q23" s="25" t="n">
        <v>0.2408</v>
      </c>
      <c r="R23" s="25" t="n">
        <v>0.3582</v>
      </c>
      <c r="S23" s="25" t="n">
        <v>0.719</v>
      </c>
      <c r="T23" s="26" t="n">
        <v>12.92</v>
      </c>
      <c r="U23" s="25" t="n">
        <v>0.2742</v>
      </c>
      <c r="V23" s="25" t="n">
        <v>0.4</v>
      </c>
      <c r="W23" s="27" t="n">
        <v>17</v>
      </c>
      <c r="X23" s="28" t="n"/>
      <c r="Y23" s="28" t="n"/>
      <c r="Z23" s="28" t="n"/>
      <c r="AA23" s="28" t="n">
        <v>0.0132</v>
      </c>
      <c r="AB23" s="29" t="n">
        <v>5.17</v>
      </c>
      <c r="AC23" s="28" t="n"/>
      <c r="AD23" s="28" t="n">
        <v>0.2659</v>
      </c>
      <c r="AE23" s="28" t="n">
        <v>0.7195</v>
      </c>
      <c r="AF23" s="29" t="n">
        <v>12.59</v>
      </c>
      <c r="AG23" s="28" t="n">
        <v>0.2191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Rashid Shaheed</t>
        </is>
      </c>
      <c r="C24" s="22" t="n">
        <v>2</v>
      </c>
      <c r="D24" s="22" t="inlineStr">
        <is>
          <t>28</t>
        </is>
      </c>
      <c r="E24" s="23" t="inlineStr">
        <is>
          <t>ACT</t>
        </is>
      </c>
      <c r="F24" s="24" t="inlineStr">
        <is>
          <t>SEA</t>
        </is>
      </c>
      <c r="G24" s="24" t="inlineStr">
        <is>
          <t>9</t>
        </is>
      </c>
      <c r="H24" s="25" t="n">
        <v>0.647</v>
      </c>
      <c r="I24" s="25" t="n"/>
      <c r="J24" s="25" t="n"/>
      <c r="K24" s="26" t="n"/>
      <c r="L24" s="25" t="n"/>
      <c r="M24" s="25" t="n">
        <v>0.0143</v>
      </c>
      <c r="N24" s="26" t="n"/>
      <c r="O24" s="25" t="n"/>
      <c r="P24" s="25" t="n"/>
      <c r="Q24" s="25" t="n">
        <v>0.0793</v>
      </c>
      <c r="R24" s="25" t="n">
        <v>0.0571</v>
      </c>
      <c r="S24" s="25" t="n">
        <v>0.571</v>
      </c>
      <c r="T24" s="26" t="n">
        <v>14.48</v>
      </c>
      <c r="U24" s="25" t="n">
        <v>0.0323</v>
      </c>
      <c r="V24" s="25" t="n"/>
      <c r="W24" s="27" t="n">
        <v>17</v>
      </c>
      <c r="X24" s="28" t="n"/>
      <c r="Y24" s="28" t="n"/>
      <c r="Z24" s="28" t="n"/>
      <c r="AA24" s="28" t="n">
        <v>0.0091</v>
      </c>
      <c r="AB24" s="29" t="n">
        <v>6.5</v>
      </c>
      <c r="AC24" s="28" t="n"/>
      <c r="AD24" s="28" t="n">
        <v>0.1148</v>
      </c>
      <c r="AE24" s="28" t="n">
        <v>0.5714</v>
      </c>
      <c r="AF24" s="29" t="n">
        <v>15.51</v>
      </c>
      <c r="AG24" s="28" t="n">
        <v>0.113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Cooper Kupp</t>
        </is>
      </c>
      <c r="C25" s="35" t="n">
        <v>3</v>
      </c>
      <c r="D25" s="35" t="inlineStr">
        <is>
          <t>33</t>
        </is>
      </c>
      <c r="E25" s="42" t="inlineStr">
        <is>
          <t>ACT</t>
        </is>
      </c>
      <c r="F25" s="24" t="inlineStr">
        <is>
          <t>SEA</t>
        </is>
      </c>
      <c r="G25" s="24" t="inlineStr">
        <is>
          <t>16</t>
        </is>
      </c>
      <c r="H25" s="25" t="n">
        <v>0.803</v>
      </c>
      <c r="I25" s="25" t="n">
        <v>0.0021</v>
      </c>
      <c r="J25" s="25" t="n"/>
      <c r="K25" s="26" t="n"/>
      <c r="L25" s="25" t="n"/>
      <c r="M25" s="25" t="n"/>
      <c r="N25" s="26" t="n"/>
      <c r="O25" s="25" t="n"/>
      <c r="P25" s="25" t="n"/>
      <c r="Q25" s="25" t="n">
        <v>0.1848</v>
      </c>
      <c r="R25" s="25" t="n">
        <v>0.1538</v>
      </c>
      <c r="S25" s="25" t="n">
        <v>0.662</v>
      </c>
      <c r="T25" s="26" t="n">
        <v>12.08</v>
      </c>
      <c r="U25" s="25" t="n">
        <v>0.1935</v>
      </c>
      <c r="V25" s="25" t="n">
        <v>0.08</v>
      </c>
      <c r="W25" s="27" t="n">
        <v>17</v>
      </c>
      <c r="X25" s="28" t="n"/>
      <c r="Y25" s="28" t="n"/>
      <c r="Z25" s="28" t="n"/>
      <c r="AA25" s="28" t="n">
        <v>0.0043</v>
      </c>
      <c r="AB25" s="29" t="n">
        <v>2.33</v>
      </c>
      <c r="AC25" s="28" t="n"/>
      <c r="AD25" s="28" t="n">
        <v>0.1389</v>
      </c>
      <c r="AE25" s="28" t="n">
        <v>0.6624</v>
      </c>
      <c r="AF25" s="29" t="n">
        <v>11.79</v>
      </c>
      <c r="AG25" s="28" t="n">
        <v>0.1017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Velus Jones</t>
        </is>
      </c>
      <c r="C26" s="22" t="n">
        <v>4</v>
      </c>
      <c r="D26" s="22" t="inlineStr">
        <is>
          <t>29</t>
        </is>
      </c>
      <c r="E26" s="23" t="inlineStr">
        <is>
          <t>ACT</t>
        </is>
      </c>
      <c r="F26" s="24" t="inlineStr">
        <is>
          <t>SEA</t>
        </is>
      </c>
      <c r="G26" s="24" t="inlineStr">
        <is>
          <t>3</t>
        </is>
      </c>
      <c r="H26" s="25" t="n">
        <v>0.062</v>
      </c>
      <c r="I26" s="25" t="n"/>
      <c r="J26" s="25" t="n"/>
      <c r="K26" s="26" t="n"/>
      <c r="L26" s="25" t="n"/>
      <c r="M26" s="25" t="n">
        <v>0.008200000000000001</v>
      </c>
      <c r="N26" s="26" t="n"/>
      <c r="O26" s="25" t="n"/>
      <c r="P26" s="25" t="n"/>
      <c r="Q26" s="25" t="n">
        <v>0.0019</v>
      </c>
      <c r="R26" s="25" t="n"/>
      <c r="S26" s="25" t="n"/>
      <c r="T26" s="26" t="n"/>
      <c r="U26" s="25" t="n"/>
      <c r="V26" s="25" t="n"/>
      <c r="W26" s="27" t="n">
        <v>17</v>
      </c>
      <c r="X26" s="28" t="n"/>
      <c r="Y26" s="28" t="n"/>
      <c r="Z26" s="28" t="n"/>
      <c r="AA26" s="28" t="n">
        <v>0.0036</v>
      </c>
      <c r="AB26" s="29" t="n">
        <v>6.71</v>
      </c>
      <c r="AC26" s="28" t="n"/>
      <c r="AD26" s="28" t="n">
        <v>0.0098</v>
      </c>
      <c r="AE26" s="28" t="n">
        <v>0.6129</v>
      </c>
      <c r="AF26" s="29" t="n">
        <v>5.6</v>
      </c>
      <c r="AG26" s="28" t="n"/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Tory Horton</t>
        </is>
      </c>
      <c r="C27" s="35" t="n">
        <v>5</v>
      </c>
      <c r="D27" s="35" t="inlineStr">
        <is>
          <t>23</t>
        </is>
      </c>
      <c r="E27" s="36" t="inlineStr">
        <is>
          <t>QUESTIONABLE</t>
        </is>
      </c>
      <c r="F27" s="24" t="inlineStr">
        <is>
          <t>SEA</t>
        </is>
      </c>
      <c r="G27" s="24" t="inlineStr">
        <is>
          <t>8</t>
        </is>
      </c>
      <c r="H27" s="25" t="n">
        <v>0.481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/>
      <c r="R27" s="25" t="n">
        <v>0.0484</v>
      </c>
      <c r="S27" s="25" t="n">
        <v>0.591</v>
      </c>
      <c r="T27" s="26" t="n">
        <v>12.38</v>
      </c>
      <c r="U27" s="25" t="n">
        <v>0.0645</v>
      </c>
      <c r="V27" s="25" t="n">
        <v>0.2</v>
      </c>
      <c r="W27" s="27" t="n">
        <v>17</v>
      </c>
      <c r="X27" s="28" t="n"/>
      <c r="Y27" s="28" t="n"/>
      <c r="Z27" s="28" t="n"/>
      <c r="AA27" s="28" t="n">
        <v>0.0008</v>
      </c>
      <c r="AB27" s="29" t="n"/>
      <c r="AC27" s="28" t="n"/>
      <c r="AD27" s="28" t="n">
        <v>0.0461</v>
      </c>
      <c r="AE27" s="28" t="n">
        <v>0.5909</v>
      </c>
      <c r="AF27" s="29" t="n">
        <v>12.38</v>
      </c>
      <c r="AG27" s="28" t="n">
        <v>0.1368</v>
      </c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Montorie Foster</t>
        </is>
      </c>
      <c r="C28" s="22" t="n">
        <v>6</v>
      </c>
      <c r="D28" s="22" t="inlineStr">
        <is>
          <t>25</t>
        </is>
      </c>
      <c r="E28" s="23" t="inlineStr">
        <is>
          <t>ACT</t>
        </is>
      </c>
      <c r="F28" s="24" t="inlineStr"/>
      <c r="G28" s="24" t="inlineStr"/>
      <c r="H28" s="25" t="n"/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/>
      <c r="R28" s="25" t="n"/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0.002</v>
      </c>
      <c r="AB28" s="29" t="n"/>
      <c r="AC28" s="28" t="n"/>
      <c r="AD28" s="28" t="n">
        <v>0.0049</v>
      </c>
      <c r="AE28" s="28" t="n">
        <v>0.65</v>
      </c>
      <c r="AF28" s="29" t="n">
        <v>12.84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Cody White</t>
        </is>
      </c>
      <c r="C29" s="35" t="n">
        <v>7</v>
      </c>
      <c r="D29" s="35" t="inlineStr">
        <is>
          <t>27</t>
        </is>
      </c>
      <c r="E29" s="42" t="inlineStr">
        <is>
          <t>ACT</t>
        </is>
      </c>
      <c r="F29" s="24" t="inlineStr">
        <is>
          <t>SEA</t>
        </is>
      </c>
      <c r="G29" s="24" t="inlineStr">
        <is>
          <t>10</t>
        </is>
      </c>
      <c r="H29" s="25" t="n">
        <v>0.273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>
        <v>0.0053</v>
      </c>
      <c r="R29" s="25" t="n">
        <v>0.008800000000000001</v>
      </c>
      <c r="S29" s="25" t="n"/>
      <c r="T29" s="26" t="n"/>
      <c r="U29" s="25" t="n"/>
      <c r="V29" s="25" t="n">
        <v>0.04</v>
      </c>
      <c r="W29" s="27" t="n">
        <v>17</v>
      </c>
      <c r="X29" s="28" t="n"/>
      <c r="Y29" s="28" t="n"/>
      <c r="Z29" s="28" t="n"/>
      <c r="AA29" s="28" t="n">
        <v>0.0008</v>
      </c>
      <c r="AB29" s="29" t="n"/>
      <c r="AC29" s="28" t="n"/>
      <c r="AD29" s="28" t="n">
        <v>0.0068</v>
      </c>
      <c r="AE29" s="28" t="n">
        <v>0.7339</v>
      </c>
      <c r="AF29" s="29" t="n">
        <v>12.84</v>
      </c>
      <c r="AG29" s="28" t="n">
        <v>0.0317</v>
      </c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Rashad Rochelle</t>
        </is>
      </c>
      <c r="C30" s="22" t="n">
        <v>8</v>
      </c>
      <c r="D30" s="22" t="inlineStr">
        <is>
          <t>23</t>
        </is>
      </c>
      <c r="E30" s="23" t="inlineStr">
        <is>
          <t>ACT</t>
        </is>
      </c>
      <c r="F30" s="24" t="inlineStr"/>
      <c r="G30" s="24" t="inlineStr"/>
      <c r="H30" s="25" t="n"/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/>
      <c r="R30" s="25" t="n"/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0.002</v>
      </c>
      <c r="AB30" s="29" t="n"/>
      <c r="AC30" s="28" t="n"/>
      <c r="AD30" s="28" t="n">
        <v>0.005</v>
      </c>
      <c r="AE30" s="28" t="n">
        <v>0.65</v>
      </c>
      <c r="AF30" s="29" t="n">
        <v>12.84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AJ Barner</t>
        </is>
      </c>
      <c r="C32" s="22" t="n">
        <v>1</v>
      </c>
      <c r="D32" s="22" t="inlineStr">
        <is>
          <t>24</t>
        </is>
      </c>
      <c r="E32" s="23" t="inlineStr">
        <is>
          <t>ACT</t>
        </is>
      </c>
      <c r="F32" s="24" t="inlineStr">
        <is>
          <t>SEA</t>
        </is>
      </c>
      <c r="G32" s="24" t="inlineStr">
        <is>
          <t>17</t>
        </is>
      </c>
      <c r="H32" s="25" t="n">
        <v>0.652</v>
      </c>
      <c r="I32" s="25" t="n"/>
      <c r="J32" s="25" t="n"/>
      <c r="K32" s="26" t="n"/>
      <c r="L32" s="25" t="n"/>
      <c r="M32" s="25" t="n">
        <v>0.0204</v>
      </c>
      <c r="N32" s="26" t="n"/>
      <c r="O32" s="25" t="n">
        <v>0.0319</v>
      </c>
      <c r="P32" s="25" t="n">
        <v>0.0526</v>
      </c>
      <c r="Q32" s="25" t="n">
        <v>0.0668</v>
      </c>
      <c r="R32" s="25" t="n">
        <v>0.1495</v>
      </c>
      <c r="S32" s="25" t="n">
        <v>0.774</v>
      </c>
      <c r="T32" s="26" t="n">
        <v>9.300000000000001</v>
      </c>
      <c r="U32" s="25" t="n">
        <v>0.1935</v>
      </c>
      <c r="V32" s="25" t="n">
        <v>0.24</v>
      </c>
      <c r="W32" s="27" t="n">
        <v>17</v>
      </c>
      <c r="X32" s="28" t="n"/>
      <c r="Y32" s="28" t="n"/>
      <c r="Z32" s="28" t="n"/>
      <c r="AA32" s="28" t="n">
        <v>0.0157</v>
      </c>
      <c r="AB32" s="29" t="n"/>
      <c r="AC32" s="28" t="n">
        <v>0.0485</v>
      </c>
      <c r="AD32" s="28" t="n">
        <v>0.1211</v>
      </c>
      <c r="AE32" s="28" t="n">
        <v>0.774</v>
      </c>
      <c r="AF32" s="29" t="n">
        <v>9.32</v>
      </c>
      <c r="AG32" s="28" t="n">
        <v>0.1514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Elijah Arroyo</t>
        </is>
      </c>
      <c r="C33" s="35" t="n">
        <v>2</v>
      </c>
      <c r="D33" s="35" t="inlineStr">
        <is>
          <t>23</t>
        </is>
      </c>
      <c r="E33" s="42" t="inlineStr">
        <is>
          <t>ACT</t>
        </is>
      </c>
      <c r="F33" s="24" t="inlineStr">
        <is>
          <t>SEA</t>
        </is>
      </c>
      <c r="G33" s="24" t="inlineStr">
        <is>
          <t>13</t>
        </is>
      </c>
      <c r="H33" s="25" t="n">
        <v>0.395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/>
      <c r="R33" s="25" t="n">
        <v>0.0571</v>
      </c>
      <c r="S33" s="25" t="n">
        <v>0.577</v>
      </c>
      <c r="T33" s="26" t="n">
        <v>11.93</v>
      </c>
      <c r="U33" s="25" t="n">
        <v>0.0806</v>
      </c>
      <c r="V33" s="25" t="n">
        <v>0.04</v>
      </c>
      <c r="W33" s="27" t="n">
        <v>17</v>
      </c>
      <c r="X33" s="28" t="n"/>
      <c r="Y33" s="28" t="n"/>
      <c r="Z33" s="28" t="n"/>
      <c r="AA33" s="28" t="n">
        <v>0.0008</v>
      </c>
      <c r="AB33" s="29" t="n"/>
      <c r="AC33" s="28" t="n"/>
      <c r="AD33" s="28" t="n">
        <v>0.0552</v>
      </c>
      <c r="AE33" s="28" t="n">
        <v>0.5769</v>
      </c>
      <c r="AF33" s="29" t="n">
        <v>11.93</v>
      </c>
      <c r="AG33" s="28" t="n">
        <v>0.0274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Eric Saubert</t>
        </is>
      </c>
      <c r="C34" s="22" t="n">
        <v>3</v>
      </c>
      <c r="D34" s="22" t="inlineStr">
        <is>
          <t>32</t>
        </is>
      </c>
      <c r="E34" s="23" t="inlineStr">
        <is>
          <t>ACT</t>
        </is>
      </c>
      <c r="F34" s="24" t="inlineStr">
        <is>
          <t>SEA</t>
        </is>
      </c>
      <c r="G34" s="24" t="inlineStr">
        <is>
          <t>11</t>
        </is>
      </c>
      <c r="H34" s="25" t="n">
        <v>0.345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0.0273</v>
      </c>
      <c r="R34" s="25" t="n">
        <v>0.0154</v>
      </c>
      <c r="S34" s="25" t="n"/>
      <c r="T34" s="26" t="n"/>
      <c r="U34" s="25" t="n">
        <v>0.0484</v>
      </c>
      <c r="V34" s="25" t="n"/>
      <c r="W34" s="27" t="n">
        <v>17</v>
      </c>
      <c r="X34" s="28" t="n"/>
      <c r="Y34" s="28" t="n"/>
      <c r="Z34" s="28" t="n"/>
      <c r="AA34" s="28" t="n">
        <v>0.0008</v>
      </c>
      <c r="AB34" s="29" t="n"/>
      <c r="AC34" s="28" t="n"/>
      <c r="AD34" s="28" t="n">
        <v>0.0129</v>
      </c>
      <c r="AE34" s="28" t="n">
        <v>0.7218</v>
      </c>
      <c r="AF34" s="29" t="n">
        <v>7.78</v>
      </c>
      <c r="AG34" s="28" t="n">
        <v>0.0297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Nick Kallerup</t>
        </is>
      </c>
      <c r="C35" s="35" t="n">
        <v>4</v>
      </c>
      <c r="D35" s="35" t="inlineStr">
        <is>
          <t>25</t>
        </is>
      </c>
      <c r="E35" s="42" t="inlineStr">
        <is>
          <t>ACT</t>
        </is>
      </c>
      <c r="F35" s="24" t="inlineStr">
        <is>
          <t>SEA</t>
        </is>
      </c>
      <c r="G35" s="24" t="inlineStr">
        <is>
          <t>9</t>
        </is>
      </c>
      <c r="H35" s="25" t="n">
        <v>0.236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>
        <v>0.0022</v>
      </c>
      <c r="S35" s="25" t="n"/>
      <c r="T35" s="26" t="n"/>
      <c r="U35" s="25" t="n">
        <v>0.0161</v>
      </c>
      <c r="V35" s="25" t="n"/>
      <c r="W35" s="27" t="n">
        <v>17</v>
      </c>
      <c r="X35" s="28" t="n"/>
      <c r="Y35" s="28" t="n"/>
      <c r="Z35" s="28" t="n"/>
      <c r="AA35" s="28" t="n">
        <v>0.0008</v>
      </c>
      <c r="AB35" s="29" t="n"/>
      <c r="AC35" s="28" t="n"/>
      <c r="AD35" s="28" t="n">
        <v>0.0031</v>
      </c>
      <c r="AE35" s="28" t="n">
        <v>0.711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SF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1053</v>
      </c>
      <c r="D4" s="10">
        <f>$C$4/$B$4</f>
        <v/>
      </c>
      <c r="E4" s="11" t="n">
        <v>0.5522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1082</v>
      </c>
      <c r="M4" s="14" t="n">
        <v>63.6471</v>
      </c>
      <c r="N4" s="15" t="n">
        <v>0.5555</v>
      </c>
      <c r="O4" s="13" t="n">
        <v>574</v>
      </c>
      <c r="P4" s="13" t="n">
        <v>481</v>
      </c>
      <c r="Q4" s="16" t="n">
        <v>7.5226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44.4</v>
      </c>
      <c r="C7" s="11" t="n">
        <v>0.3778</v>
      </c>
      <c r="D7" s="10">
        <f>$B$7*$C$7</f>
        <v/>
      </c>
      <c r="E7" s="10">
        <f>$B$7-$D$7</f>
        <v/>
      </c>
      <c r="F7" s="12" t="n">
        <v>4273</v>
      </c>
      <c r="G7" s="12" t="n">
        <v>2022</v>
      </c>
      <c r="H7" s="12">
        <f>$F$7</f>
        <v/>
      </c>
      <c r="L7" s="13" t="n">
        <v>4318</v>
      </c>
      <c r="M7" s="13" t="n">
        <v>1817</v>
      </c>
      <c r="N7" s="14" t="n">
        <v>33</v>
      </c>
      <c r="O7" s="14" t="n">
        <v>15</v>
      </c>
      <c r="P7" s="14" t="n">
        <v>48</v>
      </c>
      <c r="Q7" s="15" t="n">
        <v>0.3125</v>
      </c>
    </row>
    <row r="8"/>
    <row r="9">
      <c r="A9" s="5" t="inlineStr">
        <is>
          <t>NOTES</t>
        </is>
      </c>
      <c r="B9" s="18" t="inlineStr">
        <is>
          <t>41% of targets and 21% of carries left this roster.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Brock Purdy</t>
        </is>
      </c>
      <c r="C12" s="22" t="n">
        <v>1</v>
      </c>
      <c r="D12" s="22" t="inlineStr">
        <is>
          <t>26</t>
        </is>
      </c>
      <c r="E12" s="23" t="inlineStr">
        <is>
          <t>ACT</t>
        </is>
      </c>
      <c r="F12" s="24" t="inlineStr">
        <is>
          <t>SF</t>
        </is>
      </c>
      <c r="G12" s="24" t="inlineStr">
        <is>
          <t>9</t>
        </is>
      </c>
      <c r="H12" s="25" t="n">
        <v>0.973</v>
      </c>
      <c r="I12" s="25" t="n">
        <v>0.4948</v>
      </c>
      <c r="J12" s="25" t="n">
        <v>0.681</v>
      </c>
      <c r="K12" s="26" t="n">
        <v>8.48</v>
      </c>
      <c r="L12" s="25" t="n">
        <v>0.029</v>
      </c>
      <c r="M12" s="25" t="n">
        <v>0.06279999999999999</v>
      </c>
      <c r="N12" s="26" t="n">
        <v>5.17</v>
      </c>
      <c r="O12" s="25" t="n">
        <v>0.07530000000000001</v>
      </c>
      <c r="P12" s="25" t="n">
        <v>0.2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0.5481</v>
      </c>
      <c r="Y12" s="28" t="n">
        <v>0.681</v>
      </c>
      <c r="Z12" s="28" t="n">
        <v>0.029</v>
      </c>
      <c r="AA12" s="28" t="n">
        <v>0.0726</v>
      </c>
      <c r="AB12" s="29" t="n">
        <v>5.2</v>
      </c>
      <c r="AC12" s="28" t="n">
        <v>0.1438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Mac Jones</t>
        </is>
      </c>
      <c r="C13" s="35" t="n">
        <v>2</v>
      </c>
      <c r="D13" s="35" t="inlineStr">
        <is>
          <t>27</t>
        </is>
      </c>
      <c r="E13" s="42" t="inlineStr">
        <is>
          <t>ACT</t>
        </is>
      </c>
      <c r="F13" s="24" t="inlineStr">
        <is>
          <t>SF</t>
        </is>
      </c>
      <c r="G13" s="24" t="inlineStr">
        <is>
          <t>11</t>
        </is>
      </c>
      <c r="H13" s="25" t="n">
        <v>0.789</v>
      </c>
      <c r="I13" s="25" t="n">
        <v>0.5034999999999999</v>
      </c>
      <c r="J13" s="25" t="n">
        <v>0.674</v>
      </c>
      <c r="K13" s="26" t="n">
        <v>6.88</v>
      </c>
      <c r="L13" s="25" t="n">
        <v>0.026</v>
      </c>
      <c r="M13" s="25" t="n">
        <v>0.0476</v>
      </c>
      <c r="N13" s="26" t="n">
        <v>3.37</v>
      </c>
      <c r="O13" s="25" t="n">
        <v>0.0323</v>
      </c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0.3885</v>
      </c>
      <c r="Y13" s="28" t="n">
        <v>0.674</v>
      </c>
      <c r="Z13" s="28" t="n">
        <v>0.026</v>
      </c>
      <c r="AA13" s="28" t="n">
        <v>0.0331</v>
      </c>
      <c r="AB13" s="29" t="n">
        <v>3.65</v>
      </c>
      <c r="AC13" s="28" t="n">
        <v>0.0548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Kurtis Rourke</t>
        </is>
      </c>
      <c r="C14" s="22" t="n">
        <v>3</v>
      </c>
      <c r="D14" s="22" t="inlineStr">
        <is>
          <t>25</t>
        </is>
      </c>
      <c r="E14" s="41" t="inlineStr">
        <is>
          <t>QUESTIONABLE</t>
        </is>
      </c>
      <c r="F14" s="24" t="inlineStr"/>
      <c r="G14" s="24" t="inlineStr"/>
      <c r="H14" s="25" t="n"/>
      <c r="I14" s="25" t="n"/>
      <c r="J14" s="25" t="n"/>
      <c r="K14" s="26" t="n"/>
      <c r="L14" s="25" t="n"/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0.0489</v>
      </c>
      <c r="Y14" s="28" t="n">
        <v>0.65</v>
      </c>
      <c r="Z14" s="28" t="n">
        <v>0.022</v>
      </c>
      <c r="AA14" s="28" t="n">
        <v>0.005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Christian McCaffrey</t>
        </is>
      </c>
      <c r="C16" s="22" t="n">
        <v>1</v>
      </c>
      <c r="D16" s="22" t="inlineStr">
        <is>
          <t>30</t>
        </is>
      </c>
      <c r="E16" s="41" t="inlineStr">
        <is>
          <t>QUESTIONABLE</t>
        </is>
      </c>
      <c r="F16" s="24" t="inlineStr">
        <is>
          <t>SF</t>
        </is>
      </c>
      <c r="G16" s="24" t="inlineStr">
        <is>
          <t>17</t>
        </is>
      </c>
      <c r="H16" s="25" t="n">
        <v>0.796</v>
      </c>
      <c r="I16" s="25" t="n">
        <v>0.0017</v>
      </c>
      <c r="J16" s="25" t="n"/>
      <c r="K16" s="26" t="n"/>
      <c r="L16" s="25" t="n"/>
      <c r="M16" s="25" t="n">
        <v>0.6732</v>
      </c>
      <c r="N16" s="26" t="n">
        <v>4.25</v>
      </c>
      <c r="O16" s="25" t="n">
        <v>0.7634</v>
      </c>
      <c r="P16" s="25" t="n">
        <v>0.6667</v>
      </c>
      <c r="Q16" s="25" t="n">
        <v>0.037</v>
      </c>
      <c r="R16" s="25" t="n">
        <v>0.2345</v>
      </c>
      <c r="S16" s="25" t="n">
        <v>0.795</v>
      </c>
      <c r="T16" s="26" t="n">
        <v>8.960000000000001</v>
      </c>
      <c r="U16" s="25" t="n">
        <v>0.3012</v>
      </c>
      <c r="V16" s="25" t="n">
        <v>0.2121</v>
      </c>
      <c r="W16" s="27" t="n">
        <v>17</v>
      </c>
      <c r="X16" s="28" t="n"/>
      <c r="Y16" s="28" t="n"/>
      <c r="Z16" s="28" t="n"/>
      <c r="AA16" s="28" t="n">
        <v>0.4646</v>
      </c>
      <c r="AB16" s="29" t="n">
        <v>4.52</v>
      </c>
      <c r="AC16" s="28" t="n">
        <v>0.4464</v>
      </c>
      <c r="AD16" s="28" t="n">
        <v>0.152</v>
      </c>
      <c r="AE16" s="28" t="n">
        <v>0.7947</v>
      </c>
      <c r="AF16" s="29" t="n">
        <v>8.880000000000001</v>
      </c>
      <c r="AG16" s="28" t="n">
        <v>0.1434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Kaelon Black</t>
        </is>
      </c>
      <c r="C17" s="35" t="n">
        <v>2</v>
      </c>
      <c r="D17" s="35" t="inlineStr">
        <is>
          <t>24</t>
        </is>
      </c>
      <c r="E17" s="42" t="inlineStr">
        <is>
          <t>ACT</t>
        </is>
      </c>
      <c r="F17" s="24" t="inlineStr"/>
      <c r="G17" s="24" t="inlineStr"/>
      <c r="H17" s="25" t="n"/>
      <c r="I17" s="25" t="n"/>
      <c r="J17" s="25" t="n"/>
      <c r="K17" s="26" t="n"/>
      <c r="L17" s="25" t="n"/>
      <c r="M17" s="25" t="n"/>
      <c r="N17" s="26" t="n"/>
      <c r="O17" s="25" t="n"/>
      <c r="P17" s="25" t="n"/>
      <c r="Q17" s="25" t="n"/>
      <c r="R17" s="25" t="n"/>
      <c r="S17" s="25" t="n"/>
      <c r="T17" s="26" t="n"/>
      <c r="U17" s="25" t="n"/>
      <c r="V17" s="25" t="n"/>
      <c r="W17" s="27" t="n">
        <v>17</v>
      </c>
      <c r="X17" s="28" t="n"/>
      <c r="Y17" s="28" t="n"/>
      <c r="Z17" s="28" t="n"/>
      <c r="AA17" s="28" t="n">
        <v>0.0567</v>
      </c>
      <c r="AB17" s="29" t="n">
        <v>4.13</v>
      </c>
      <c r="AC17" s="28" t="n"/>
      <c r="AD17" s="28" t="n">
        <v>0.0184</v>
      </c>
      <c r="AE17" s="28" t="n">
        <v>0.75</v>
      </c>
      <c r="AF17" s="29" t="n">
        <v>7.13</v>
      </c>
      <c r="AG17" s="28" t="n"/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Jordan James</t>
        </is>
      </c>
      <c r="C18" s="22" t="n">
        <v>3</v>
      </c>
      <c r="D18" s="22" t="inlineStr">
        <is>
          <t>22</t>
        </is>
      </c>
      <c r="E18" s="23" t="inlineStr">
        <is>
          <t>ACT</t>
        </is>
      </c>
      <c r="F18" s="24" t="inlineStr"/>
      <c r="G18" s="24" t="inlineStr"/>
      <c r="H18" s="25" t="n">
        <v>0.05</v>
      </c>
      <c r="I18" s="25" t="n"/>
      <c r="J18" s="25" t="n"/>
      <c r="K18" s="26" t="n"/>
      <c r="L18" s="25" t="n"/>
      <c r="M18" s="25" t="n"/>
      <c r="N18" s="26" t="n"/>
      <c r="O18" s="25" t="n"/>
      <c r="P18" s="25" t="n"/>
      <c r="Q18" s="25" t="n"/>
      <c r="R18" s="25" t="n"/>
      <c r="S18" s="25" t="n"/>
      <c r="T18" s="26" t="n"/>
      <c r="U18" s="25" t="n"/>
      <c r="V18" s="25" t="n"/>
      <c r="W18" s="27" t="n">
        <v>17</v>
      </c>
      <c r="X18" s="28" t="n"/>
      <c r="Y18" s="28" t="n"/>
      <c r="Z18" s="28" t="n"/>
      <c r="AA18" s="28" t="n">
        <v>0.1642</v>
      </c>
      <c r="AB18" s="29" t="n">
        <v>4.13</v>
      </c>
      <c r="AC18" s="28" t="n"/>
      <c r="AD18" s="28" t="n">
        <v>0.0379</v>
      </c>
      <c r="AE18" s="28" t="n">
        <v>0.75</v>
      </c>
      <c r="AF18" s="29" t="n">
        <v>7.13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Sincere McCormick</t>
        </is>
      </c>
      <c r="C19" s="35" t="n">
        <v>4</v>
      </c>
      <c r="D19" s="35" t="inlineStr">
        <is>
          <t>25</t>
        </is>
      </c>
      <c r="E19" s="42" t="inlineStr">
        <is>
          <t>ACT</t>
        </is>
      </c>
      <c r="F19" s="24" t="inlineStr"/>
      <c r="G19" s="24" t="inlineStr"/>
      <c r="H19" s="25" t="n">
        <v>0.325</v>
      </c>
      <c r="I19" s="25" t="n"/>
      <c r="J19" s="25" t="n"/>
      <c r="K19" s="26" t="n"/>
      <c r="L19" s="25" t="n"/>
      <c r="M19" s="25" t="n"/>
      <c r="N19" s="26" t="n">
        <v>4.69</v>
      </c>
      <c r="O19" s="25" t="n"/>
      <c r="P19" s="25" t="n"/>
      <c r="Q19" s="25" t="n">
        <v>0.0118</v>
      </c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0.0634</v>
      </c>
      <c r="AB19" s="29" t="n">
        <v>4.69</v>
      </c>
      <c r="AC19" s="28" t="n"/>
      <c r="AD19" s="28" t="n">
        <v>0.011</v>
      </c>
      <c r="AE19" s="28" t="n">
        <v>0.8571</v>
      </c>
      <c r="AF19" s="29" t="n">
        <v>7.13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21" t="inlineStr">
        <is>
          <t>Khalil Herbert</t>
        </is>
      </c>
      <c r="C20" s="22" t="n">
        <v>5</v>
      </c>
      <c r="D20" s="22" t="inlineStr">
        <is>
          <t>28</t>
        </is>
      </c>
      <c r="E20" s="23" t="inlineStr">
        <is>
          <t>ACT</t>
        </is>
      </c>
      <c r="F20" s="24" t="inlineStr">
        <is>
          <t>NYJ</t>
        </is>
      </c>
      <c r="G20" s="24" t="inlineStr">
        <is>
          <t>7</t>
        </is>
      </c>
      <c r="H20" s="25" t="n">
        <v>0.293</v>
      </c>
      <c r="I20" s="25" t="n"/>
      <c r="J20" s="25" t="n"/>
      <c r="K20" s="26" t="n"/>
      <c r="L20" s="25" t="n"/>
      <c r="M20" s="25" t="n">
        <v>0.0356</v>
      </c>
      <c r="N20" s="26" t="n">
        <v>4.35</v>
      </c>
      <c r="O20" s="25" t="n">
        <v>0.0566</v>
      </c>
      <c r="P20" s="25" t="n"/>
      <c r="Q20" s="25" t="n">
        <v>0.0143</v>
      </c>
      <c r="R20" s="25" t="n">
        <v>0.008500000000000001</v>
      </c>
      <c r="S20" s="25" t="n">
        <v>0.645</v>
      </c>
      <c r="T20" s="26" t="n">
        <v>6.7</v>
      </c>
      <c r="U20" s="25" t="n"/>
      <c r="V20" s="25" t="n"/>
      <c r="W20" s="27" t="n">
        <v>17</v>
      </c>
      <c r="X20" s="28" t="n"/>
      <c r="Y20" s="28" t="n"/>
      <c r="Z20" s="28" t="n"/>
      <c r="AA20" s="28" t="n">
        <v>0.0037</v>
      </c>
      <c r="AB20" s="29" t="n">
        <v>4.41</v>
      </c>
      <c r="AC20" s="28" t="n">
        <v>0.0891</v>
      </c>
      <c r="AD20" s="28" t="n">
        <v>0.0031</v>
      </c>
      <c r="AE20" s="28" t="n">
        <v>0.549</v>
      </c>
      <c r="AF20" s="29" t="n">
        <v>5.48</v>
      </c>
      <c r="AG20" s="28" t="n">
        <v>0.0356</v>
      </c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inlineStr">
        <is>
          <t>Isaac Guerendo</t>
        </is>
      </c>
      <c r="C21" s="35" t="n">
        <v>6</v>
      </c>
      <c r="D21" s="35" t="inlineStr">
        <is>
          <t>26</t>
        </is>
      </c>
      <c r="E21" s="36" t="inlineStr">
        <is>
          <t>PUP</t>
        </is>
      </c>
      <c r="F21" s="24" t="inlineStr"/>
      <c r="G21" s="24" t="inlineStr"/>
      <c r="H21" s="25" t="n">
        <v>0.245</v>
      </c>
      <c r="I21" s="25" t="n"/>
      <c r="J21" s="25" t="n"/>
      <c r="K21" s="26" t="n"/>
      <c r="L21" s="25" t="n"/>
      <c r="M21" s="25" t="n"/>
      <c r="N21" s="26" t="n">
        <v>5</v>
      </c>
      <c r="O21" s="25" t="n"/>
      <c r="P21" s="25" t="n"/>
      <c r="Q21" s="25" t="n">
        <v>0.0312</v>
      </c>
      <c r="R21" s="25" t="n"/>
      <c r="S21" s="25" t="n">
        <v>0.9379999999999999</v>
      </c>
      <c r="T21" s="26" t="n">
        <v>10.13</v>
      </c>
      <c r="U21" s="25" t="n"/>
      <c r="V21" s="25" t="n"/>
      <c r="W21" s="27" t="n">
        <v>17</v>
      </c>
      <c r="X21" s="28" t="n"/>
      <c r="Y21" s="28" t="n"/>
      <c r="Z21" s="28" t="n"/>
      <c r="AA21" s="28" t="n">
        <v>0.1043</v>
      </c>
      <c r="AB21" s="29" t="n">
        <v>5</v>
      </c>
      <c r="AC21" s="28" t="n">
        <v>0.1678</v>
      </c>
      <c r="AD21" s="28" t="n">
        <v>0.0211</v>
      </c>
      <c r="AE21" s="28" t="n">
        <v>0.9375</v>
      </c>
      <c r="AF21" s="29" t="n">
        <v>10.13</v>
      </c>
      <c r="AG21" s="28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Mike Evans</t>
        </is>
      </c>
      <c r="C23" s="35" t="n">
        <v>1</v>
      </c>
      <c r="D23" s="35" t="inlineStr">
        <is>
          <t>33</t>
        </is>
      </c>
      <c r="E23" s="36" t="inlineStr">
        <is>
          <t>QUESTIONABLE</t>
        </is>
      </c>
      <c r="F23" s="24" t="inlineStr">
        <is>
          <t>TB</t>
        </is>
      </c>
      <c r="G23" s="24" t="inlineStr">
        <is>
          <t>8</t>
        </is>
      </c>
      <c r="H23" s="25" t="n">
        <v>0.7</v>
      </c>
      <c r="I23" s="25" t="n"/>
      <c r="J23" s="25" t="n"/>
      <c r="K23" s="26" t="n"/>
      <c r="L23" s="25" t="n"/>
      <c r="M23" s="25" t="n"/>
      <c r="N23" s="26" t="n"/>
      <c r="O23" s="25" t="n"/>
      <c r="P23" s="25" t="n"/>
      <c r="Q23" s="25" t="n">
        <v>0.1954</v>
      </c>
      <c r="R23" s="25" t="n">
        <v>0.1146</v>
      </c>
      <c r="S23" s="25" t="n">
        <v>0.581</v>
      </c>
      <c r="T23" s="26" t="n">
        <v>13.8</v>
      </c>
      <c r="U23" s="25" t="n">
        <v>0.1356</v>
      </c>
      <c r="V23" s="25" t="n">
        <v>0.1154</v>
      </c>
      <c r="W23" s="27" t="n">
        <v>17</v>
      </c>
      <c r="X23" s="28" t="n"/>
      <c r="Y23" s="28" t="n"/>
      <c r="Z23" s="28" t="n"/>
      <c r="AA23" s="28" t="n">
        <v>0.0313</v>
      </c>
      <c r="AB23" s="29" t="n"/>
      <c r="AC23" s="28" t="n"/>
      <c r="AD23" s="28" t="n">
        <v>0.189</v>
      </c>
      <c r="AE23" s="28" t="n">
        <v>0.5807</v>
      </c>
      <c r="AF23" s="29" t="n">
        <v>14.36</v>
      </c>
      <c r="AG23" s="28" t="n">
        <v>0.1845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Deebo Samuel</t>
        </is>
      </c>
      <c r="C24" s="22" t="n">
        <v>2</v>
      </c>
      <c r="D24" s="22" t="inlineStr">
        <is>
          <t>30</t>
        </is>
      </c>
      <c r="E24" s="23" t="inlineStr">
        <is>
          <t>ACT</t>
        </is>
      </c>
      <c r="F24" s="24" t="inlineStr">
        <is>
          <t>WAS</t>
        </is>
      </c>
      <c r="G24" s="24" t="inlineStr">
        <is>
          <t>16</t>
        </is>
      </c>
      <c r="H24" s="25" t="n">
        <v>0.729</v>
      </c>
      <c r="I24" s="25" t="n"/>
      <c r="J24" s="25" t="n"/>
      <c r="K24" s="26" t="n"/>
      <c r="L24" s="25" t="n"/>
      <c r="M24" s="25" t="n">
        <v>0.036</v>
      </c>
      <c r="N24" s="26" t="n">
        <v>4.38</v>
      </c>
      <c r="O24" s="25" t="n">
        <v>0.0449</v>
      </c>
      <c r="P24" s="25" t="n">
        <v>0.05</v>
      </c>
      <c r="Q24" s="25" t="n">
        <v>0.1579</v>
      </c>
      <c r="R24" s="25" t="n">
        <v>0.2292</v>
      </c>
      <c r="S24" s="25" t="n">
        <v>0.6889999999999999</v>
      </c>
      <c r="T24" s="26" t="n">
        <v>11.9</v>
      </c>
      <c r="U24" s="25" t="n">
        <v>0.2558</v>
      </c>
      <c r="V24" s="25" t="n">
        <v>0.2632</v>
      </c>
      <c r="W24" s="27" t="n">
        <v>17</v>
      </c>
      <c r="X24" s="28" t="n"/>
      <c r="Y24" s="28" t="n"/>
      <c r="Z24" s="28" t="n"/>
      <c r="AA24" s="28" t="n">
        <v>0.0053</v>
      </c>
      <c r="AB24" s="29" t="n">
        <v>4.54</v>
      </c>
      <c r="AC24" s="28" t="n">
        <v>0.0561</v>
      </c>
      <c r="AD24" s="28" t="n">
        <v>0.1289</v>
      </c>
      <c r="AE24" s="28" t="n">
        <v>0.6886</v>
      </c>
      <c r="AF24" s="29" t="n">
        <v>12.51</v>
      </c>
      <c r="AG24" s="28" t="n">
        <v>0.1451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De'Zhaun Stribling</t>
        </is>
      </c>
      <c r="C25" s="35" t="n">
        <v>3</v>
      </c>
      <c r="D25" s="35" t="inlineStr">
        <is>
          <t>23</t>
        </is>
      </c>
      <c r="E25" s="36" t="inlineStr">
        <is>
          <t>QUESTIONABLE</t>
        </is>
      </c>
      <c r="F25" s="24" t="inlineStr"/>
      <c r="G25" s="24" t="inlineStr"/>
      <c r="H25" s="25" t="n"/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/>
      <c r="R25" s="25" t="n"/>
      <c r="S25" s="25" t="n"/>
      <c r="T25" s="26" t="n"/>
      <c r="U25" s="25" t="n"/>
      <c r="V25" s="25" t="n"/>
      <c r="W25" s="27" t="n">
        <v>17</v>
      </c>
      <c r="X25" s="28" t="n"/>
      <c r="Y25" s="28" t="n"/>
      <c r="Z25" s="28" t="n"/>
      <c r="AA25" s="28" t="n">
        <v>0.0025</v>
      </c>
      <c r="AB25" s="29" t="n"/>
      <c r="AC25" s="28" t="n"/>
      <c r="AD25" s="28" t="n">
        <v>0.0796</v>
      </c>
      <c r="AE25" s="28" t="n">
        <v>0.65</v>
      </c>
      <c r="AF25" s="29" t="n">
        <v>12.84</v>
      </c>
      <c r="AG25" s="28" t="n"/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Demarcus Robinson</t>
        </is>
      </c>
      <c r="C26" s="22" t="n">
        <v>4</v>
      </c>
      <c r="D26" s="22" t="inlineStr">
        <is>
          <t>31</t>
        </is>
      </c>
      <c r="E26" s="23" t="inlineStr">
        <is>
          <t>ACT</t>
        </is>
      </c>
      <c r="F26" s="24" t="inlineStr">
        <is>
          <t>SF</t>
        </is>
      </c>
      <c r="G26" s="24" t="inlineStr">
        <is>
          <t>14</t>
        </is>
      </c>
      <c r="H26" s="25" t="n">
        <v>0.5669999999999999</v>
      </c>
      <c r="I26" s="25" t="n"/>
      <c r="J26" s="25" t="n"/>
      <c r="K26" s="26" t="n"/>
      <c r="L26" s="25" t="n"/>
      <c r="M26" s="25" t="n">
        <v>0.0022</v>
      </c>
      <c r="N26" s="26" t="n"/>
      <c r="O26" s="25" t="n"/>
      <c r="P26" s="25" t="n"/>
      <c r="Q26" s="25" t="n">
        <v>0.1183</v>
      </c>
      <c r="R26" s="25" t="n">
        <v>0.0636</v>
      </c>
      <c r="S26" s="25" t="n">
        <v>0.588</v>
      </c>
      <c r="T26" s="26" t="n">
        <v>14.15</v>
      </c>
      <c r="U26" s="25" t="n">
        <v>0.0361</v>
      </c>
      <c r="V26" s="25" t="n">
        <v>0.0303</v>
      </c>
      <c r="W26" s="27" t="n">
        <v>17</v>
      </c>
      <c r="X26" s="28" t="n"/>
      <c r="Y26" s="28" t="n"/>
      <c r="Z26" s="28" t="n"/>
      <c r="AA26" s="28" t="n">
        <v>0.0019</v>
      </c>
      <c r="AB26" s="29" t="n"/>
      <c r="AC26" s="28" t="n"/>
      <c r="AD26" s="28" t="n">
        <v>0.0522</v>
      </c>
      <c r="AE26" s="28" t="n">
        <v>0.5885</v>
      </c>
      <c r="AF26" s="29" t="n">
        <v>14.58</v>
      </c>
      <c r="AG26" s="28" t="n">
        <v>0.1028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Jacob Cowing</t>
        </is>
      </c>
      <c r="C27" s="35" t="n">
        <v>5</v>
      </c>
      <c r="D27" s="35" t="inlineStr">
        <is>
          <t>25</t>
        </is>
      </c>
      <c r="E27" s="36" t="inlineStr">
        <is>
          <t>QUESTIONABLE</t>
        </is>
      </c>
      <c r="F27" s="24" t="inlineStr"/>
      <c r="G27" s="24" t="inlineStr"/>
      <c r="H27" s="25" t="n">
        <v>0.13</v>
      </c>
      <c r="I27" s="25" t="n"/>
      <c r="J27" s="25" t="n"/>
      <c r="K27" s="26" t="n"/>
      <c r="L27" s="25" t="n"/>
      <c r="M27" s="25" t="n"/>
      <c r="N27" s="26" t="n"/>
      <c r="O27" s="25" t="n"/>
      <c r="P27" s="25" t="n"/>
      <c r="Q27" s="25" t="n">
        <v>0.0117</v>
      </c>
      <c r="R27" s="25" t="n"/>
      <c r="S27" s="25" t="n"/>
      <c r="T27" s="26" t="n"/>
      <c r="U27" s="25" t="n"/>
      <c r="V27" s="25" t="n"/>
      <c r="W27" s="27" t="n">
        <v>17</v>
      </c>
      <c r="X27" s="28" t="n"/>
      <c r="Y27" s="28" t="n"/>
      <c r="Z27" s="28" t="n"/>
      <c r="AA27" s="28" t="n">
        <v>0.0019</v>
      </c>
      <c r="AB27" s="29" t="n">
        <v>7</v>
      </c>
      <c r="AC27" s="28" t="n"/>
      <c r="AD27" s="28" t="n">
        <v>0.0107</v>
      </c>
      <c r="AE27" s="28" t="n">
        <v>0.6667</v>
      </c>
      <c r="AF27" s="29" t="n">
        <v>20</v>
      </c>
      <c r="AG27" s="28" t="n"/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Malik Turner</t>
        </is>
      </c>
      <c r="C28" s="22" t="n">
        <v>6</v>
      </c>
      <c r="D28" s="22" t="inlineStr">
        <is>
          <t>30</t>
        </is>
      </c>
      <c r="E28" s="23" t="inlineStr">
        <is>
          <t>ACT</t>
        </is>
      </c>
      <c r="F28" s="24" t="inlineStr">
        <is>
          <t>SF</t>
        </is>
      </c>
      <c r="G28" s="24" t="inlineStr">
        <is>
          <t>3</t>
        </is>
      </c>
      <c r="H28" s="25" t="n">
        <v>0.08</v>
      </c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/>
      <c r="R28" s="25" t="n">
        <v>0.0018</v>
      </c>
      <c r="S28" s="25" t="n"/>
      <c r="T28" s="26" t="n"/>
      <c r="U28" s="25" t="n"/>
      <c r="V28" s="25" t="n"/>
      <c r="W28" s="27" t="n">
        <v>17</v>
      </c>
      <c r="X28" s="28" t="n"/>
      <c r="Y28" s="28" t="n"/>
      <c r="Z28" s="28" t="n"/>
      <c r="AA28" s="28" t="n">
        <v>0.0007</v>
      </c>
      <c r="AB28" s="29" t="n"/>
      <c r="AC28" s="28" t="n"/>
      <c r="AD28" s="28" t="n">
        <v>0.0022</v>
      </c>
      <c r="AE28" s="28" t="n">
        <v>0.619</v>
      </c>
      <c r="AF28" s="29" t="n">
        <v>12.84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Jordan Watkins</t>
        </is>
      </c>
      <c r="C29" s="35" t="n">
        <v>7</v>
      </c>
      <c r="D29" s="35" t="inlineStr">
        <is>
          <t>24</t>
        </is>
      </c>
      <c r="E29" s="42" t="inlineStr">
        <is>
          <t>ACT</t>
        </is>
      </c>
      <c r="F29" s="24" t="inlineStr">
        <is>
          <t>SF</t>
        </is>
      </c>
      <c r="G29" s="24" t="inlineStr">
        <is>
          <t>4</t>
        </is>
      </c>
      <c r="H29" s="25" t="n">
        <v>0.102</v>
      </c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/>
      <c r="R29" s="25" t="n">
        <v>0.0055</v>
      </c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0.0007</v>
      </c>
      <c r="AB29" s="29" t="n"/>
      <c r="AC29" s="28" t="n"/>
      <c r="AD29" s="28" t="n">
        <v>0.0056</v>
      </c>
      <c r="AE29" s="28" t="n">
        <v>0.6667</v>
      </c>
      <c r="AF29" s="29" t="n">
        <v>12.84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Trenton Irwin</t>
        </is>
      </c>
      <c r="C30" s="22" t="n">
        <v>8</v>
      </c>
      <c r="D30" s="22" t="inlineStr">
        <is>
          <t>30</t>
        </is>
      </c>
      <c r="E30" s="23" t="inlineStr">
        <is>
          <t>ACT</t>
        </is>
      </c>
      <c r="F30" s="24" t="inlineStr"/>
      <c r="G30" s="24" t="inlineStr"/>
      <c r="H30" s="25" t="n">
        <v>0.346</v>
      </c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>
        <v>0.0159</v>
      </c>
      <c r="R30" s="25" t="n"/>
      <c r="S30" s="25" t="n">
        <v>0.781</v>
      </c>
      <c r="T30" s="26" t="n">
        <v>12.64</v>
      </c>
      <c r="U30" s="25" t="n"/>
      <c r="V30" s="25" t="n"/>
      <c r="W30" s="27" t="n">
        <v>17</v>
      </c>
      <c r="X30" s="28" t="n"/>
      <c r="Y30" s="28" t="n"/>
      <c r="Z30" s="28" t="n"/>
      <c r="AA30" s="28" t="n">
        <v>0.0007</v>
      </c>
      <c r="AB30" s="29" t="n"/>
      <c r="AC30" s="28" t="n"/>
      <c r="AD30" s="28" t="n">
        <v>0.0222</v>
      </c>
      <c r="AE30" s="28" t="n">
        <v>0.5906</v>
      </c>
      <c r="AF30" s="29" t="n">
        <v>12.64</v>
      </c>
      <c r="AG30" s="28" t="n">
        <v>0.0263</v>
      </c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George Kittle</t>
        </is>
      </c>
      <c r="C32" s="22" t="n">
        <v>1</v>
      </c>
      <c r="D32" s="22" t="inlineStr">
        <is>
          <t>32</t>
        </is>
      </c>
      <c r="E32" s="41" t="inlineStr">
        <is>
          <t>QUESTIONABLE</t>
        </is>
      </c>
      <c r="F32" s="24" t="inlineStr">
        <is>
          <t>SF</t>
        </is>
      </c>
      <c r="G32" s="24" t="inlineStr">
        <is>
          <t>11</t>
        </is>
      </c>
      <c r="H32" s="25" t="n">
        <v>0.845</v>
      </c>
      <c r="I32" s="25" t="n"/>
      <c r="J32" s="25" t="n"/>
      <c r="K32" s="26" t="n"/>
      <c r="L32" s="25" t="n"/>
      <c r="M32" s="25" t="n">
        <v>0.0022</v>
      </c>
      <c r="N32" s="26" t="n"/>
      <c r="O32" s="25" t="n">
        <v>0.0108</v>
      </c>
      <c r="P32" s="25" t="n"/>
      <c r="Q32" s="25" t="n">
        <v>0.1832</v>
      </c>
      <c r="R32" s="25" t="n">
        <v>0.1255</v>
      </c>
      <c r="S32" s="25" t="n">
        <v>0.802</v>
      </c>
      <c r="T32" s="26" t="n">
        <v>13.23</v>
      </c>
      <c r="U32" s="25" t="n">
        <v>0.1446</v>
      </c>
      <c r="V32" s="25" t="n">
        <v>0.2121</v>
      </c>
      <c r="W32" s="27" t="n">
        <v>17</v>
      </c>
      <c r="X32" s="28" t="n"/>
      <c r="Y32" s="28" t="n"/>
      <c r="Z32" s="28" t="n"/>
      <c r="AA32" s="28" t="n">
        <v>0.0018</v>
      </c>
      <c r="AB32" s="29" t="n"/>
      <c r="AC32" s="28" t="n"/>
      <c r="AD32" s="28" t="n">
        <v>0.1413</v>
      </c>
      <c r="AE32" s="28" t="n">
        <v>0.8022</v>
      </c>
      <c r="AF32" s="29" t="n">
        <v>13.77</v>
      </c>
      <c r="AG32" s="28" t="n">
        <v>0.1697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Jake Tonges</t>
        </is>
      </c>
      <c r="C33" s="35" t="n">
        <v>2</v>
      </c>
      <c r="D33" s="35" t="inlineStr">
        <is>
          <t>27</t>
        </is>
      </c>
      <c r="E33" s="42" t="inlineStr">
        <is>
          <t>ACT</t>
        </is>
      </c>
      <c r="F33" s="24" t="inlineStr">
        <is>
          <t>SF</t>
        </is>
      </c>
      <c r="G33" s="24" t="inlineStr">
        <is>
          <t>17</t>
        </is>
      </c>
      <c r="H33" s="25" t="n">
        <v>0.238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/>
      <c r="R33" s="25" t="n">
        <v>0.08359999999999999</v>
      </c>
      <c r="S33" s="25" t="n">
        <v>0.739</v>
      </c>
      <c r="T33" s="26" t="n">
        <v>8.619999999999999</v>
      </c>
      <c r="U33" s="25" t="n">
        <v>0.0723</v>
      </c>
      <c r="V33" s="25" t="n">
        <v>0.1515</v>
      </c>
      <c r="W33" s="27" t="n">
        <v>17</v>
      </c>
      <c r="X33" s="28" t="n"/>
      <c r="Y33" s="28" t="n"/>
      <c r="Z33" s="28" t="n"/>
      <c r="AA33" s="28" t="n">
        <v>0.0007</v>
      </c>
      <c r="AB33" s="29" t="n"/>
      <c r="AC33" s="28" t="n"/>
      <c r="AD33" s="28" t="n">
        <v>0.0597</v>
      </c>
      <c r="AE33" s="28" t="n">
        <v>0.7391</v>
      </c>
      <c r="AF33" s="29" t="n">
        <v>8.619999999999999</v>
      </c>
      <c r="AG33" s="28" t="n">
        <v>0.1024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Luke Farrell</t>
        </is>
      </c>
      <c r="C34" s="22" t="n">
        <v>3</v>
      </c>
      <c r="D34" s="22" t="inlineStr">
        <is>
          <t>28</t>
        </is>
      </c>
      <c r="E34" s="23" t="inlineStr">
        <is>
          <t>ACT</t>
        </is>
      </c>
      <c r="F34" s="24" t="inlineStr">
        <is>
          <t>SF</t>
        </is>
      </c>
      <c r="G34" s="24" t="inlineStr">
        <is>
          <t>17</t>
        </is>
      </c>
      <c r="H34" s="25" t="n">
        <v>0.356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0.0326</v>
      </c>
      <c r="R34" s="25" t="n">
        <v>0.0255</v>
      </c>
      <c r="S34" s="25" t="n">
        <v>0.77</v>
      </c>
      <c r="T34" s="26" t="n">
        <v>8.119999999999999</v>
      </c>
      <c r="U34" s="25" t="n">
        <v>0.0482</v>
      </c>
      <c r="V34" s="25" t="n">
        <v>0.0606</v>
      </c>
      <c r="W34" s="27" t="n">
        <v>17</v>
      </c>
      <c r="X34" s="28" t="n"/>
      <c r="Y34" s="28" t="n"/>
      <c r="Z34" s="28" t="n"/>
      <c r="AA34" s="28" t="n">
        <v>0.0007</v>
      </c>
      <c r="AB34" s="29" t="n"/>
      <c r="AC34" s="28" t="n"/>
      <c r="AD34" s="28" t="n">
        <v>0.0161</v>
      </c>
      <c r="AE34" s="28" t="n">
        <v>0.778</v>
      </c>
      <c r="AF34" s="29" t="n">
        <v>8.529999999999999</v>
      </c>
      <c r="AG34" s="28" t="n">
        <v>0.041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Brayden Willis</t>
        </is>
      </c>
      <c r="C35" s="35" t="n">
        <v>4</v>
      </c>
      <c r="D35" s="35" t="inlineStr">
        <is>
          <t>26</t>
        </is>
      </c>
      <c r="E35" s="36" t="inlineStr">
        <is>
          <t>QUESTIONABLE</t>
        </is>
      </c>
      <c r="F35" s="24" t="inlineStr">
        <is>
          <t>SF</t>
        </is>
      </c>
      <c r="G35" s="24" t="inlineStr">
        <is>
          <t>6</t>
        </is>
      </c>
      <c r="H35" s="25" t="n">
        <v>0.052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>
        <v>0.0039</v>
      </c>
      <c r="R35" s="25" t="n">
        <v>0.0018</v>
      </c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0.0007</v>
      </c>
      <c r="AB35" s="29" t="n"/>
      <c r="AC35" s="28" t="n"/>
      <c r="AD35" s="28" t="n">
        <v>0.0031</v>
      </c>
      <c r="AE35" s="28" t="n">
        <v>0.711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TB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1064</v>
      </c>
      <c r="D4" s="10">
        <f>$C$4/$B$4</f>
        <v/>
      </c>
      <c r="E4" s="11" t="n">
        <v>0.5635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1068</v>
      </c>
      <c r="M4" s="14" t="n">
        <v>62.8235</v>
      </c>
      <c r="N4" s="15" t="n">
        <v>0.5581</v>
      </c>
      <c r="O4" s="13" t="n">
        <v>558</v>
      </c>
      <c r="P4" s="13" t="n">
        <v>472</v>
      </c>
      <c r="Q4" s="16" t="n">
        <v>6.7294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41.3</v>
      </c>
      <c r="C7" s="11" t="n">
        <v>0.3256</v>
      </c>
      <c r="D7" s="10">
        <f>$B$7*$C$7</f>
        <v/>
      </c>
      <c r="E7" s="10">
        <f>$B$7-$D$7</f>
        <v/>
      </c>
      <c r="F7" s="12" t="n">
        <v>3994</v>
      </c>
      <c r="G7" s="12" t="n">
        <v>2010</v>
      </c>
      <c r="H7" s="12">
        <f>$F$7</f>
        <v/>
      </c>
      <c r="L7" s="13" t="n">
        <v>3755</v>
      </c>
      <c r="M7" s="13" t="n">
        <v>1947</v>
      </c>
      <c r="N7" s="14" t="n">
        <v>26</v>
      </c>
      <c r="O7" s="14" t="n">
        <v>13</v>
      </c>
      <c r="P7" s="14" t="n">
        <v>39</v>
      </c>
      <c r="Q7" s="15" t="n">
        <v>0.3333333333333333</v>
      </c>
    </row>
    <row r="8"/>
    <row r="9">
      <c r="A9" s="5" t="inlineStr">
        <is>
          <t>NOTES</t>
        </is>
      </c>
      <c r="B9" s="18" t="inlineStr">
        <is>
          <t>30% of targets and 29% of carries left this roster.  HC unchanged. OC Zac Robinson. Balanced approach; pre-snap motion emphasis; flexible personnel usage.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Baker Mayfield</t>
        </is>
      </c>
      <c r="C12" s="22" t="n">
        <v>1</v>
      </c>
      <c r="D12" s="22" t="inlineStr">
        <is>
          <t>31</t>
        </is>
      </c>
      <c r="E12" s="23" t="inlineStr">
        <is>
          <t>ACT</t>
        </is>
      </c>
      <c r="F12" s="24" t="inlineStr">
        <is>
          <t>TB</t>
        </is>
      </c>
      <c r="G12" s="24" t="inlineStr">
        <is>
          <t>17</t>
        </is>
      </c>
      <c r="H12" s="25" t="n">
        <v>0.981</v>
      </c>
      <c r="I12" s="25" t="n">
        <v>0.9731</v>
      </c>
      <c r="J12" s="25" t="n">
        <v>0.659</v>
      </c>
      <c r="K12" s="26" t="n">
        <v>7.2</v>
      </c>
      <c r="L12" s="25" t="n">
        <v>0.022</v>
      </c>
      <c r="M12" s="25" t="n">
        <v>0.1017</v>
      </c>
      <c r="N12" s="26" t="n">
        <v>7</v>
      </c>
      <c r="O12" s="25" t="n">
        <v>0.125</v>
      </c>
      <c r="P12" s="25" t="n">
        <v>0.0769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0.8709</v>
      </c>
      <c r="Y12" s="28" t="n">
        <v>0.659</v>
      </c>
      <c r="Z12" s="28" t="n">
        <v>0.022</v>
      </c>
      <c r="AA12" s="28" t="n">
        <v>0.1026</v>
      </c>
      <c r="AB12" s="29" t="n">
        <v>6.55</v>
      </c>
      <c r="AC12" s="28" t="n">
        <v>0.0948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Jalon Daniels</t>
        </is>
      </c>
      <c r="C13" s="35" t="n">
        <v>2</v>
      </c>
      <c r="D13" s="35" t="inlineStr">
        <is>
          <t>23</t>
        </is>
      </c>
      <c r="E13" s="42" t="inlineStr">
        <is>
          <t>ACT</t>
        </is>
      </c>
      <c r="F13" s="24" t="inlineStr"/>
      <c r="G13" s="24" t="inlineStr"/>
      <c r="H13" s="25" t="n"/>
      <c r="I13" s="25" t="n"/>
      <c r="J13" s="25" t="n"/>
      <c r="K13" s="26" t="n"/>
      <c r="L13" s="25" t="n"/>
      <c r="M13" s="25" t="n"/>
      <c r="N13" s="26" t="n"/>
      <c r="O13" s="25" t="n"/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0.0493</v>
      </c>
      <c r="Y13" s="28" t="n">
        <v>0.65</v>
      </c>
      <c r="Z13" s="28" t="n">
        <v>0.022</v>
      </c>
      <c r="AA13" s="28" t="n">
        <v>0.0101</v>
      </c>
      <c r="AB13" s="29" t="n">
        <v>4.5</v>
      </c>
      <c r="AC13" s="28" t="n"/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Garrett Greene</t>
        </is>
      </c>
      <c r="C14" s="22" t="n">
        <v>3</v>
      </c>
      <c r="D14" s="22" t="inlineStr">
        <is>
          <t>24</t>
        </is>
      </c>
      <c r="E14" s="23" t="inlineStr">
        <is>
          <t>ACT</t>
        </is>
      </c>
      <c r="F14" s="24" t="inlineStr"/>
      <c r="G14" s="24" t="inlineStr"/>
      <c r="H14" s="25" t="n"/>
      <c r="I14" s="25" t="n"/>
      <c r="J14" s="25" t="n"/>
      <c r="K14" s="26" t="n"/>
      <c r="L14" s="25" t="n"/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0.06519999999999999</v>
      </c>
      <c r="Y14" s="28" t="n">
        <v>0.65</v>
      </c>
      <c r="Z14" s="28" t="n">
        <v>0.022</v>
      </c>
      <c r="AA14" s="28" t="n">
        <v>0.0103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Bucky Irving</t>
        </is>
      </c>
      <c r="C16" s="22" t="n">
        <v>1</v>
      </c>
      <c r="D16" s="22" t="inlineStr">
        <is>
          <t>24</t>
        </is>
      </c>
      <c r="E16" s="23" t="inlineStr">
        <is>
          <t>ACT</t>
        </is>
      </c>
      <c r="F16" s="24" t="inlineStr">
        <is>
          <t>TB</t>
        </is>
      </c>
      <c r="G16" s="24" t="inlineStr">
        <is>
          <t>10</t>
        </is>
      </c>
      <c r="H16" s="25" t="n">
        <v>0.552</v>
      </c>
      <c r="I16" s="25" t="n"/>
      <c r="J16" s="25" t="n"/>
      <c r="K16" s="26" t="n"/>
      <c r="L16" s="25" t="n"/>
      <c r="M16" s="25" t="n">
        <v>0.3745</v>
      </c>
      <c r="N16" s="26" t="n">
        <v>4.42</v>
      </c>
      <c r="O16" s="25" t="n">
        <v>0.2656</v>
      </c>
      <c r="P16" s="25" t="n">
        <v>0.0769</v>
      </c>
      <c r="Q16" s="25" t="n">
        <v>0.0924</v>
      </c>
      <c r="R16" s="25" t="n">
        <v>0.06469999999999999</v>
      </c>
      <c r="S16" s="25" t="n">
        <v>0.881</v>
      </c>
      <c r="T16" s="26" t="n">
        <v>8.779999999999999</v>
      </c>
      <c r="U16" s="25" t="n">
        <v>0.0678</v>
      </c>
      <c r="V16" s="25" t="n">
        <v>0.1154</v>
      </c>
      <c r="W16" s="27" t="n">
        <v>17</v>
      </c>
      <c r="X16" s="28" t="n"/>
      <c r="Y16" s="28" t="n"/>
      <c r="Z16" s="28" t="n"/>
      <c r="AA16" s="28" t="n">
        <v>0.4489</v>
      </c>
      <c r="AB16" s="29" t="n">
        <v>4.5</v>
      </c>
      <c r="AC16" s="28" t="n">
        <v>0.2303</v>
      </c>
      <c r="AD16" s="28" t="n">
        <v>0.08649999999999999</v>
      </c>
      <c r="AE16" s="28" t="n">
        <v>0.8807</v>
      </c>
      <c r="AF16" s="29" t="n">
        <v>8.69</v>
      </c>
      <c r="AG16" s="28" t="n">
        <v>0.09329999999999999</v>
      </c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Kenny Gainwell</t>
        </is>
      </c>
      <c r="C17" s="35" t="n">
        <v>2</v>
      </c>
      <c r="D17" s="35" t="inlineStr">
        <is>
          <t>27</t>
        </is>
      </c>
      <c r="E17" s="42" t="inlineStr">
        <is>
          <t>ACT</t>
        </is>
      </c>
      <c r="F17" s="24" t="inlineStr">
        <is>
          <t>PIT</t>
        </is>
      </c>
      <c r="G17" s="24" t="inlineStr">
        <is>
          <t>17</t>
        </is>
      </c>
      <c r="H17" s="25" t="n"/>
      <c r="I17" s="25" t="n"/>
      <c r="J17" s="25" t="n"/>
      <c r="K17" s="26" t="n"/>
      <c r="L17" s="25" t="n"/>
      <c r="M17" s="25" t="n">
        <v>0.2886</v>
      </c>
      <c r="N17" s="26" t="n">
        <v>4.38</v>
      </c>
      <c r="O17" s="25" t="n">
        <v>0.2727</v>
      </c>
      <c r="P17" s="25" t="n">
        <v>0.3125</v>
      </c>
      <c r="Q17" s="25" t="n">
        <v>0.0526</v>
      </c>
      <c r="R17" s="25" t="n">
        <v>0.1628</v>
      </c>
      <c r="S17" s="25" t="n">
        <v>0.8100000000000001</v>
      </c>
      <c r="T17" s="26" t="n">
        <v>6.73</v>
      </c>
      <c r="U17" s="25" t="n">
        <v>0.2055</v>
      </c>
      <c r="V17" s="25" t="n">
        <v>0.1154</v>
      </c>
      <c r="W17" s="27" t="n">
        <v>17</v>
      </c>
      <c r="X17" s="28" t="n"/>
      <c r="Y17" s="28" t="n"/>
      <c r="Z17" s="28" t="n"/>
      <c r="AA17" s="28" t="n">
        <v>0.2299</v>
      </c>
      <c r="AB17" s="29" t="n">
        <v>4.36</v>
      </c>
      <c r="AC17" s="28" t="n">
        <v>0.1473</v>
      </c>
      <c r="AD17" s="28" t="n">
        <v>0.0529</v>
      </c>
      <c r="AE17" s="28" t="n">
        <v>0.8097</v>
      </c>
      <c r="AF17" s="29" t="n">
        <v>6.6</v>
      </c>
      <c r="AG17" s="28" t="n">
        <v>0.09329999999999999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Sean Tucker</t>
        </is>
      </c>
      <c r="C18" s="22" t="n">
        <v>3</v>
      </c>
      <c r="D18" s="22" t="inlineStr">
        <is>
          <t>24</t>
        </is>
      </c>
      <c r="E18" s="23" t="inlineStr">
        <is>
          <t>ACT</t>
        </is>
      </c>
      <c r="F18" s="24" t="inlineStr">
        <is>
          <t>TB</t>
        </is>
      </c>
      <c r="G18" s="24" t="inlineStr">
        <is>
          <t>17</t>
        </is>
      </c>
      <c r="H18" s="25" t="n">
        <v>0.154</v>
      </c>
      <c r="I18" s="25" t="n"/>
      <c r="J18" s="25" t="n"/>
      <c r="K18" s="26" t="n"/>
      <c r="L18" s="25" t="n"/>
      <c r="M18" s="25" t="n">
        <v>0.1861</v>
      </c>
      <c r="N18" s="26" t="n">
        <v>4.64</v>
      </c>
      <c r="O18" s="25" t="n">
        <v>0.3281</v>
      </c>
      <c r="P18" s="25" t="n">
        <v>0.5385</v>
      </c>
      <c r="Q18" s="25" t="n">
        <v>0.0213</v>
      </c>
      <c r="R18" s="25" t="n">
        <v>0.0203</v>
      </c>
      <c r="S18" s="25" t="n"/>
      <c r="T18" s="26" t="n"/>
      <c r="U18" s="25" t="n">
        <v>0.0339</v>
      </c>
      <c r="V18" s="25" t="n">
        <v>0.0385</v>
      </c>
      <c r="W18" s="27" t="n">
        <v>17</v>
      </c>
      <c r="X18" s="28" t="n"/>
      <c r="Y18" s="28" t="n"/>
      <c r="Z18" s="28" t="n"/>
      <c r="AA18" s="28" t="n">
        <v>0.1228</v>
      </c>
      <c r="AB18" s="29" t="n">
        <v>4.31</v>
      </c>
      <c r="AC18" s="28" t="n">
        <v>0.3038</v>
      </c>
      <c r="AD18" s="28" t="n">
        <v>0.0178</v>
      </c>
      <c r="AE18" s="28" t="n">
        <v>0.7726</v>
      </c>
      <c r="AF18" s="29" t="n">
        <v>8</v>
      </c>
      <c r="AG18" s="28" t="n">
        <v>0.0269</v>
      </c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Josh Williams</t>
        </is>
      </c>
      <c r="C19" s="35" t="n">
        <v>4</v>
      </c>
      <c r="D19" s="35" t="inlineStr">
        <is>
          <t>25</t>
        </is>
      </c>
      <c r="E19" s="42" t="inlineStr">
        <is>
          <t>ACT</t>
        </is>
      </c>
      <c r="F19" s="24" t="inlineStr">
        <is>
          <t>TB</t>
        </is>
      </c>
      <c r="G19" s="24" t="inlineStr">
        <is>
          <t>3</t>
        </is>
      </c>
      <c r="H19" s="25" t="n">
        <v>0.065</v>
      </c>
      <c r="I19" s="25" t="n"/>
      <c r="J19" s="25" t="n"/>
      <c r="K19" s="26" t="n"/>
      <c r="L19" s="25" t="n"/>
      <c r="M19" s="25" t="n">
        <v>0.008699999999999999</v>
      </c>
      <c r="N19" s="26" t="n"/>
      <c r="O19" s="25" t="n"/>
      <c r="P19" s="25" t="n"/>
      <c r="Q19" s="25" t="n"/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0.0144</v>
      </c>
      <c r="AB19" s="29" t="n">
        <v>2.75</v>
      </c>
      <c r="AC19" s="28" t="n"/>
      <c r="AD19" s="28" t="n">
        <v>0.0023</v>
      </c>
      <c r="AE19" s="28" t="n">
        <v>0.774</v>
      </c>
      <c r="AF19" s="29" t="n">
        <v>7.13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40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Emeka Egbuka</t>
        </is>
      </c>
      <c r="C23" s="35" t="n">
        <v>1</v>
      </c>
      <c r="D23" s="35" t="inlineStr">
        <is>
          <t>23</t>
        </is>
      </c>
      <c r="E23" s="36" t="inlineStr">
        <is>
          <t>QUESTIONABLE</t>
        </is>
      </c>
      <c r="F23" s="24" t="inlineStr">
        <is>
          <t>TB</t>
        </is>
      </c>
      <c r="G23" s="24" t="inlineStr">
        <is>
          <t>17</t>
        </is>
      </c>
      <c r="H23" s="25" t="n">
        <v>0.776</v>
      </c>
      <c r="I23" s="25" t="n"/>
      <c r="J23" s="25" t="n"/>
      <c r="K23" s="26" t="n"/>
      <c r="L23" s="25" t="n"/>
      <c r="M23" s="25" t="n">
        <v>0.0043</v>
      </c>
      <c r="N23" s="26" t="n"/>
      <c r="O23" s="25" t="n"/>
      <c r="P23" s="25" t="n"/>
      <c r="Q23" s="25" t="n"/>
      <c r="R23" s="25" t="n">
        <v>0.2348</v>
      </c>
      <c r="S23" s="25" t="n">
        <v>0.496</v>
      </c>
      <c r="T23" s="26" t="n">
        <v>14.89</v>
      </c>
      <c r="U23" s="25" t="n">
        <v>0.1864</v>
      </c>
      <c r="V23" s="25" t="n">
        <v>0.2308</v>
      </c>
      <c r="W23" s="27" t="n">
        <v>17</v>
      </c>
      <c r="X23" s="28" t="n"/>
      <c r="Y23" s="28" t="n"/>
      <c r="Z23" s="28" t="n"/>
      <c r="AA23" s="28" t="n">
        <v>0.0154</v>
      </c>
      <c r="AB23" s="29" t="n">
        <v>4.5</v>
      </c>
      <c r="AC23" s="28" t="n"/>
      <c r="AD23" s="28" t="n">
        <v>0.2285</v>
      </c>
      <c r="AE23" s="28" t="n">
        <v>0.4961</v>
      </c>
      <c r="AF23" s="29" t="n">
        <v>14.89</v>
      </c>
      <c r="AG23" s="28" t="n">
        <v>0.1867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Chris Godwin</t>
        </is>
      </c>
      <c r="C24" s="22" t="n">
        <v>2</v>
      </c>
      <c r="D24" s="22" t="inlineStr">
        <is>
          <t>30</t>
        </is>
      </c>
      <c r="E24" s="23" t="inlineStr">
        <is>
          <t>ACT</t>
        </is>
      </c>
      <c r="F24" s="24" t="inlineStr">
        <is>
          <t>TB</t>
        </is>
      </c>
      <c r="G24" s="24" t="inlineStr">
        <is>
          <t>9</t>
        </is>
      </c>
      <c r="H24" s="25" t="n">
        <v>0.778</v>
      </c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>
        <v>0.1101</v>
      </c>
      <c r="R24" s="25" t="n">
        <v>0.09429999999999999</v>
      </c>
      <c r="S24" s="25" t="n">
        <v>0.678</v>
      </c>
      <c r="T24" s="26" t="n">
        <v>11.52</v>
      </c>
      <c r="U24" s="25" t="n">
        <v>0.1186</v>
      </c>
      <c r="V24" s="25" t="n">
        <v>0.0769</v>
      </c>
      <c r="W24" s="27" t="n">
        <v>17</v>
      </c>
      <c r="X24" s="28" t="n"/>
      <c r="Y24" s="28" t="n"/>
      <c r="Z24" s="28" t="n"/>
      <c r="AA24" s="28" t="n">
        <v>0.0073</v>
      </c>
      <c r="AB24" s="29" t="n"/>
      <c r="AC24" s="28" t="n">
        <v>0.099</v>
      </c>
      <c r="AD24" s="28" t="n">
        <v>0.1454</v>
      </c>
      <c r="AE24" s="28" t="n">
        <v>0.6776</v>
      </c>
      <c r="AF24" s="29" t="n">
        <v>11.81</v>
      </c>
      <c r="AG24" s="28" t="n">
        <v>0.0683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Jalen McMillan</t>
        </is>
      </c>
      <c r="C25" s="35" t="n">
        <v>3</v>
      </c>
      <c r="D25" s="35" t="inlineStr">
        <is>
          <t>24</t>
        </is>
      </c>
      <c r="E25" s="36" t="inlineStr">
        <is>
          <t>QUESTIONABLE</t>
        </is>
      </c>
      <c r="F25" s="24" t="inlineStr">
        <is>
          <t>TB</t>
        </is>
      </c>
      <c r="G25" s="24" t="inlineStr">
        <is>
          <t>4</t>
        </is>
      </c>
      <c r="H25" s="25" t="n">
        <v>0.587</v>
      </c>
      <c r="I25" s="25" t="n"/>
      <c r="J25" s="25" t="n"/>
      <c r="K25" s="26" t="n"/>
      <c r="L25" s="25" t="n"/>
      <c r="M25" s="25" t="n">
        <v>0.0022</v>
      </c>
      <c r="N25" s="26" t="n"/>
      <c r="O25" s="25" t="n">
        <v>0.0156</v>
      </c>
      <c r="P25" s="25" t="n"/>
      <c r="Q25" s="25" t="n">
        <v>0.103</v>
      </c>
      <c r="R25" s="25" t="n">
        <v>0.0277</v>
      </c>
      <c r="S25" s="25" t="n">
        <v>0.6929999999999999</v>
      </c>
      <c r="T25" s="26" t="n">
        <v>13.26</v>
      </c>
      <c r="U25" s="25" t="n"/>
      <c r="V25" s="25" t="n"/>
      <c r="W25" s="27" t="n">
        <v>17</v>
      </c>
      <c r="X25" s="28" t="n"/>
      <c r="Y25" s="28" t="n"/>
      <c r="Z25" s="28" t="n"/>
      <c r="AA25" s="28" t="n">
        <v>0.0049</v>
      </c>
      <c r="AB25" s="29" t="n"/>
      <c r="AC25" s="28" t="n"/>
      <c r="AD25" s="28" t="n">
        <v>0.08599999999999999</v>
      </c>
      <c r="AE25" s="28" t="n">
        <v>0.6929</v>
      </c>
      <c r="AF25" s="29" t="n">
        <v>13.04</v>
      </c>
      <c r="AG25" s="28" t="n">
        <v>0.1578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Ted Hurst</t>
        </is>
      </c>
      <c r="C26" s="22" t="n">
        <v>4</v>
      </c>
      <c r="D26" s="22" t="inlineStr">
        <is>
          <t>22</t>
        </is>
      </c>
      <c r="E26" s="23" t="inlineStr">
        <is>
          <t>ACT</t>
        </is>
      </c>
      <c r="F26" s="24" t="inlineStr"/>
      <c r="G26" s="24" t="inlineStr"/>
      <c r="H26" s="25" t="n"/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/>
      <c r="R26" s="25" t="n"/>
      <c r="S26" s="25" t="n"/>
      <c r="T26" s="26" t="n"/>
      <c r="U26" s="25" t="n"/>
      <c r="V26" s="25" t="n"/>
      <c r="W26" s="27" t="n">
        <v>17</v>
      </c>
      <c r="X26" s="28" t="n"/>
      <c r="Y26" s="28" t="n"/>
      <c r="Z26" s="28" t="n"/>
      <c r="AA26" s="28" t="n">
        <v>0.0027</v>
      </c>
      <c r="AB26" s="29" t="n"/>
      <c r="AC26" s="28" t="n"/>
      <c r="AD26" s="28" t="n">
        <v>0.062</v>
      </c>
      <c r="AE26" s="28" t="n">
        <v>0.65</v>
      </c>
      <c r="AF26" s="29" t="n">
        <v>12.84</v>
      </c>
      <c r="AG26" s="28" t="n"/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Tez Johnson</t>
        </is>
      </c>
      <c r="C27" s="35" t="n">
        <v>5</v>
      </c>
      <c r="D27" s="35" t="inlineStr">
        <is>
          <t>24</t>
        </is>
      </c>
      <c r="E27" s="42" t="inlineStr">
        <is>
          <t>ACT</t>
        </is>
      </c>
      <c r="F27" s="24" t="inlineStr">
        <is>
          <t>TB</t>
        </is>
      </c>
      <c r="G27" s="24" t="inlineStr">
        <is>
          <t>16</t>
        </is>
      </c>
      <c r="H27" s="25" t="n">
        <v>0.471</v>
      </c>
      <c r="I27" s="25" t="n"/>
      <c r="J27" s="25" t="n"/>
      <c r="K27" s="26" t="n"/>
      <c r="L27" s="25" t="n"/>
      <c r="M27" s="25" t="n">
        <v>0.0152</v>
      </c>
      <c r="N27" s="26" t="n"/>
      <c r="O27" s="25" t="n">
        <v>0.0156</v>
      </c>
      <c r="P27" s="25" t="n"/>
      <c r="Q27" s="25" t="n"/>
      <c r="R27" s="25" t="n">
        <v>0.0813</v>
      </c>
      <c r="S27" s="25" t="n">
        <v>0.636</v>
      </c>
      <c r="T27" s="26" t="n">
        <v>11.5</v>
      </c>
      <c r="U27" s="25" t="n">
        <v>0.0678</v>
      </c>
      <c r="V27" s="25" t="n">
        <v>0.1923</v>
      </c>
      <c r="W27" s="27" t="n">
        <v>17</v>
      </c>
      <c r="X27" s="28" t="n"/>
      <c r="Y27" s="28" t="n"/>
      <c r="Z27" s="28" t="n"/>
      <c r="AA27" s="28" t="n">
        <v>0.0042</v>
      </c>
      <c r="AB27" s="29" t="n">
        <v>3.14</v>
      </c>
      <c r="AC27" s="28" t="n"/>
      <c r="AD27" s="28" t="n">
        <v>0.0502</v>
      </c>
      <c r="AE27" s="28" t="n">
        <v>0.6364</v>
      </c>
      <c r="AF27" s="29" t="n">
        <v>11.5</v>
      </c>
      <c r="AG27" s="28" t="n">
        <v>0.1555</v>
      </c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Kameron Johnson</t>
        </is>
      </c>
      <c r="C28" s="22" t="n">
        <v>6</v>
      </c>
      <c r="D28" s="22" t="inlineStr">
        <is>
          <t>24</t>
        </is>
      </c>
      <c r="E28" s="23" t="inlineStr">
        <is>
          <t>ACT</t>
        </is>
      </c>
      <c r="F28" s="24" t="inlineStr">
        <is>
          <t>TB</t>
        </is>
      </c>
      <c r="G28" s="24" t="inlineStr">
        <is>
          <t>17</t>
        </is>
      </c>
      <c r="H28" s="25" t="n">
        <v>0.136</v>
      </c>
      <c r="I28" s="25" t="n"/>
      <c r="J28" s="25" t="n"/>
      <c r="K28" s="26" t="n"/>
      <c r="L28" s="25" t="n"/>
      <c r="M28" s="25" t="n">
        <v>0.0043</v>
      </c>
      <c r="N28" s="26" t="n"/>
      <c r="O28" s="25" t="n"/>
      <c r="P28" s="25" t="n"/>
      <c r="Q28" s="25" t="n">
        <v>0.0018</v>
      </c>
      <c r="R28" s="25" t="n">
        <v>0.0129</v>
      </c>
      <c r="S28" s="25" t="n"/>
      <c r="T28" s="26" t="n"/>
      <c r="U28" s="25" t="n"/>
      <c r="V28" s="25" t="n">
        <v>0.0385</v>
      </c>
      <c r="W28" s="27" t="n">
        <v>17</v>
      </c>
      <c r="X28" s="28" t="n"/>
      <c r="Y28" s="28" t="n"/>
      <c r="Z28" s="28" t="n"/>
      <c r="AA28" s="28" t="n">
        <v>0.0026</v>
      </c>
      <c r="AB28" s="29" t="n">
        <v>6</v>
      </c>
      <c r="AC28" s="28" t="n"/>
      <c r="AD28" s="28" t="n">
        <v>0.0114</v>
      </c>
      <c r="AE28" s="28" t="n">
        <v>0.5714</v>
      </c>
      <c r="AF28" s="29" t="n">
        <v>16</v>
      </c>
      <c r="AG28" s="28" t="n">
        <v>0.0329</v>
      </c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Dean Patterson</t>
        </is>
      </c>
      <c r="C29" s="35" t="n">
        <v>7</v>
      </c>
      <c r="D29" s="35" t="inlineStr"/>
      <c r="E29" s="42" t="inlineStr">
        <is>
          <t>ACT</t>
        </is>
      </c>
      <c r="F29" s="24" t="inlineStr"/>
      <c r="G29" s="24" t="inlineStr"/>
      <c r="H29" s="25" t="n"/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/>
      <c r="R29" s="25" t="n"/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0.0024</v>
      </c>
      <c r="AB29" s="29" t="n"/>
      <c r="AC29" s="28" t="n"/>
      <c r="AD29" s="28" t="n">
        <v>0.0118</v>
      </c>
      <c r="AE29" s="28" t="n">
        <v>0.65</v>
      </c>
      <c r="AF29" s="29" t="n">
        <v>12.84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21" t="inlineStr">
        <is>
          <t>Jha'Quan Jackson</t>
        </is>
      </c>
      <c r="C30" s="22" t="n">
        <v>8</v>
      </c>
      <c r="D30" s="22" t="inlineStr">
        <is>
          <t>26</t>
        </is>
      </c>
      <c r="E30" s="23" t="inlineStr">
        <is>
          <t>ACT</t>
        </is>
      </c>
      <c r="F30" s="24" t="inlineStr"/>
      <c r="G30" s="24" t="inlineStr"/>
      <c r="H30" s="25" t="n">
        <v>0.077</v>
      </c>
      <c r="I30" s="25" t="n"/>
      <c r="J30" s="25" t="n"/>
      <c r="K30" s="26" t="n"/>
      <c r="L30" s="25" t="n"/>
      <c r="M30" s="25" t="n"/>
      <c r="N30" s="26" t="n"/>
      <c r="O30" s="25" t="n"/>
      <c r="P30" s="25" t="n"/>
      <c r="Q30" s="25" t="n">
        <v>0.0059</v>
      </c>
      <c r="R30" s="25" t="n"/>
      <c r="S30" s="25" t="n"/>
      <c r="T30" s="26" t="n"/>
      <c r="U30" s="25" t="n"/>
      <c r="V30" s="25" t="n"/>
      <c r="W30" s="27" t="n">
        <v>17</v>
      </c>
      <c r="X30" s="28" t="n"/>
      <c r="Y30" s="28" t="n"/>
      <c r="Z30" s="28" t="n"/>
      <c r="AA30" s="28" t="n">
        <v>0.0023</v>
      </c>
      <c r="AB30" s="29" t="n"/>
      <c r="AC30" s="28" t="n"/>
      <c r="AD30" s="28" t="n">
        <v>0.0057</v>
      </c>
      <c r="AE30" s="28" t="n">
        <v>0.3333</v>
      </c>
      <c r="AF30" s="29" t="n">
        <v>12.84</v>
      </c>
      <c r="AG30" s="28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Cade Otton</t>
        </is>
      </c>
      <c r="C32" s="22" t="n">
        <v>1</v>
      </c>
      <c r="D32" s="22" t="inlineStr">
        <is>
          <t>27</t>
        </is>
      </c>
      <c r="E32" s="23" t="inlineStr">
        <is>
          <t>ACT</t>
        </is>
      </c>
      <c r="F32" s="24" t="inlineStr">
        <is>
          <t>TB</t>
        </is>
      </c>
      <c r="G32" s="24" t="inlineStr">
        <is>
          <t>16</t>
        </is>
      </c>
      <c r="H32" s="25" t="n">
        <v>0.9389999999999999</v>
      </c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>
        <v>0.1545</v>
      </c>
      <c r="R32" s="25" t="n">
        <v>0.1497</v>
      </c>
      <c r="S32" s="25" t="n">
        <v>0.709</v>
      </c>
      <c r="T32" s="26" t="n">
        <v>9.82</v>
      </c>
      <c r="U32" s="25" t="n">
        <v>0.0847</v>
      </c>
      <c r="V32" s="25" t="n">
        <v>0.0385</v>
      </c>
      <c r="W32" s="27" t="n">
        <v>17</v>
      </c>
      <c r="X32" s="28" t="n"/>
      <c r="Y32" s="28" t="n"/>
      <c r="Z32" s="28" t="n"/>
      <c r="AA32" s="28" t="n">
        <v>0.0022</v>
      </c>
      <c r="AB32" s="29" t="n"/>
      <c r="AC32" s="28" t="n"/>
      <c r="AD32" s="28" t="n">
        <v>0.1435</v>
      </c>
      <c r="AE32" s="28" t="n">
        <v>0.709</v>
      </c>
      <c r="AF32" s="29" t="n">
        <v>9.859999999999999</v>
      </c>
      <c r="AG32" s="28" t="n">
        <v>0.0624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Payne Durham</t>
        </is>
      </c>
      <c r="C33" s="35" t="n">
        <v>2</v>
      </c>
      <c r="D33" s="35" t="inlineStr">
        <is>
          <t>26</t>
        </is>
      </c>
      <c r="E33" s="42" t="inlineStr">
        <is>
          <t>ACT</t>
        </is>
      </c>
      <c r="F33" s="24" t="inlineStr">
        <is>
          <t>TB</t>
        </is>
      </c>
      <c r="G33" s="24" t="inlineStr">
        <is>
          <t>17</t>
        </is>
      </c>
      <c r="H33" s="25" t="n">
        <v>0.308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0.0249</v>
      </c>
      <c r="R33" s="25" t="n">
        <v>0.0074</v>
      </c>
      <c r="S33" s="25" t="n"/>
      <c r="T33" s="26" t="n"/>
      <c r="U33" s="25" t="n">
        <v>0.0169</v>
      </c>
      <c r="V33" s="25" t="n"/>
      <c r="W33" s="27" t="n">
        <v>17</v>
      </c>
      <c r="X33" s="28" t="n"/>
      <c r="Y33" s="28" t="n"/>
      <c r="Z33" s="28" t="n"/>
      <c r="AA33" s="28" t="n">
        <v>0.0009</v>
      </c>
      <c r="AB33" s="29" t="n"/>
      <c r="AC33" s="28" t="n"/>
      <c r="AD33" s="28" t="n">
        <v>0.0101</v>
      </c>
      <c r="AE33" s="28" t="n">
        <v>0.4876</v>
      </c>
      <c r="AF33" s="29" t="n">
        <v>10.82</v>
      </c>
      <c r="AG33" s="28" t="n">
        <v>0.0395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Ko Kieft</t>
        </is>
      </c>
      <c r="C34" s="22" t="n">
        <v>3</v>
      </c>
      <c r="D34" s="22" t="inlineStr">
        <is>
          <t>28</t>
        </is>
      </c>
      <c r="E34" s="23" t="inlineStr">
        <is>
          <t>ACT</t>
        </is>
      </c>
      <c r="F34" s="24" t="inlineStr"/>
      <c r="G34" s="24" t="inlineStr"/>
      <c r="H34" s="25" t="n">
        <v>0.135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/>
      <c r="R34" s="25" t="n"/>
      <c r="S34" s="25" t="n"/>
      <c r="T34" s="26" t="n"/>
      <c r="U34" s="25" t="n"/>
      <c r="V34" s="25" t="n"/>
      <c r="W34" s="27" t="n">
        <v>17</v>
      </c>
      <c r="X34" s="28" t="n"/>
      <c r="Y34" s="28" t="n"/>
      <c r="Z34" s="28" t="n"/>
      <c r="AA34" s="28" t="n">
        <v>0.0009</v>
      </c>
      <c r="AB34" s="29" t="n"/>
      <c r="AC34" s="28" t="n"/>
      <c r="AD34" s="28" t="n">
        <v>0.0109</v>
      </c>
      <c r="AE34" s="28" t="n">
        <v>0.2</v>
      </c>
      <c r="AF34" s="29" t="n">
        <v>10.32</v>
      </c>
      <c r="AG34" s="28" t="n">
        <v>0.0306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Bauer Sharp</t>
        </is>
      </c>
      <c r="C35" s="35" t="n">
        <v>4</v>
      </c>
      <c r="D35" s="35" t="inlineStr">
        <is>
          <t>23</t>
        </is>
      </c>
      <c r="E35" s="42" t="inlineStr">
        <is>
          <t>ACT</t>
        </is>
      </c>
      <c r="F35" s="24" t="inlineStr"/>
      <c r="G35" s="24" t="inlineStr"/>
      <c r="H35" s="25" t="n"/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/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0.0023</v>
      </c>
      <c r="AB35" s="29" t="n"/>
      <c r="AC35" s="28" t="n"/>
      <c r="AD35" s="28" t="n">
        <v>0.031</v>
      </c>
      <c r="AE35" s="28" t="n">
        <v>0.65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TEN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1028</v>
      </c>
      <c r="D4" s="10">
        <f>$C$4/$B$4</f>
        <v/>
      </c>
      <c r="E4" s="11" t="n">
        <v>0.5844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1004</v>
      </c>
      <c r="M4" s="14" t="n">
        <v>59.0588</v>
      </c>
      <c r="N4" s="15" t="n">
        <v>0.6235000000000001</v>
      </c>
      <c r="O4" s="13" t="n">
        <v>570</v>
      </c>
      <c r="P4" s="13" t="n">
        <v>378</v>
      </c>
      <c r="Q4" s="16" t="n">
        <v>5.686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36.6</v>
      </c>
      <c r="C7" s="11" t="n">
        <v>0.375</v>
      </c>
      <c r="D7" s="10">
        <f>$B$7*$C$7</f>
        <v/>
      </c>
      <c r="E7" s="10">
        <f>$B$7-$D$7</f>
        <v/>
      </c>
      <c r="F7" s="12" t="n">
        <v>3586</v>
      </c>
      <c r="G7" s="12" t="n">
        <v>1803</v>
      </c>
      <c r="H7" s="12">
        <f>$F$7</f>
        <v/>
      </c>
      <c r="L7" s="13" t="n">
        <v>3241</v>
      </c>
      <c r="M7" s="13" t="n">
        <v>1589</v>
      </c>
      <c r="N7" s="14" t="n">
        <v>15</v>
      </c>
      <c r="O7" s="14" t="n">
        <v>9</v>
      </c>
      <c r="P7" s="14" t="n">
        <v>24</v>
      </c>
      <c r="Q7" s="15" t="n">
        <v>0.375</v>
      </c>
    </row>
    <row r="8"/>
    <row r="9">
      <c r="A9" s="5" t="inlineStr">
        <is>
          <t>NOTES</t>
        </is>
      </c>
      <c r="B9" s="18" t="inlineStr">
        <is>
          <t>31% of targets and 0% of carries left this roster.  NEW HC Robert Saleh + OC Brian Daboll. Potential shift toward a more balanced approach.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Cam Ward</t>
        </is>
      </c>
      <c r="C12" s="22" t="n">
        <v>1</v>
      </c>
      <c r="D12" s="22" t="inlineStr">
        <is>
          <t>24</t>
        </is>
      </c>
      <c r="E12" s="23" t="inlineStr">
        <is>
          <t>ACT</t>
        </is>
      </c>
      <c r="F12" s="24" t="inlineStr">
        <is>
          <t>TEN</t>
        </is>
      </c>
      <c r="G12" s="24" t="inlineStr">
        <is>
          <t>17</t>
        </is>
      </c>
      <c r="H12" s="25" t="n">
        <v>0.946</v>
      </c>
      <c r="I12" s="25" t="n">
        <v>0.9474</v>
      </c>
      <c r="J12" s="25" t="n">
        <v>0.598</v>
      </c>
      <c r="K12" s="26" t="n">
        <v>5.87</v>
      </c>
      <c r="L12" s="25" t="n">
        <v>0.013</v>
      </c>
      <c r="M12" s="25" t="n">
        <v>0.0887</v>
      </c>
      <c r="N12" s="26" t="n">
        <v>4.82</v>
      </c>
      <c r="O12" s="25" t="n">
        <v>0.2273</v>
      </c>
      <c r="P12" s="25" t="n">
        <v>0.2222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0.6071</v>
      </c>
      <c r="Y12" s="28" t="n">
        <v>0.598</v>
      </c>
      <c r="Z12" s="28" t="n">
        <v>0.013</v>
      </c>
      <c r="AA12" s="28" t="n">
        <v>0.0785</v>
      </c>
      <c r="AB12" s="29" t="n">
        <v>4.82</v>
      </c>
      <c r="AC12" s="28" t="n">
        <v>0.1542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Mitchell Trubisky</t>
        </is>
      </c>
      <c r="C13" s="35" t="n">
        <v>2</v>
      </c>
      <c r="D13" s="35" t="inlineStr">
        <is>
          <t>32</t>
        </is>
      </c>
      <c r="E13" s="36" t="inlineStr">
        <is>
          <t>QUESTIONABLE</t>
        </is>
      </c>
      <c r="F13" s="24" t="inlineStr">
        <is>
          <t>BUF</t>
        </is>
      </c>
      <c r="G13" s="24" t="inlineStr">
        <is>
          <t>4</t>
        </is>
      </c>
      <c r="H13" s="25" t="n">
        <v>0.346</v>
      </c>
      <c r="I13" s="25" t="n">
        <v>0.0707</v>
      </c>
      <c r="J13" s="25" t="n">
        <v>0.707</v>
      </c>
      <c r="K13" s="26" t="n">
        <v>7.44</v>
      </c>
      <c r="L13" s="25" t="n">
        <v>0.008</v>
      </c>
      <c r="M13" s="25" t="n">
        <v>0.0038</v>
      </c>
      <c r="N13" s="26" t="n"/>
      <c r="O13" s="25" t="n"/>
      <c r="P13" s="25" t="n"/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0.0265</v>
      </c>
      <c r="Y13" s="28" t="n">
        <v>0.707</v>
      </c>
      <c r="Z13" s="28" t="n">
        <v>0.008</v>
      </c>
      <c r="AA13" s="28" t="n">
        <v>0.009900000000000001</v>
      </c>
      <c r="AB13" s="29" t="n">
        <v>2.9</v>
      </c>
      <c r="AC13" s="28" t="n">
        <v>0.0867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40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Tony Pollard</t>
        </is>
      </c>
      <c r="C16" s="22" t="n">
        <v>1</v>
      </c>
      <c r="D16" s="22" t="inlineStr">
        <is>
          <t>29</t>
        </is>
      </c>
      <c r="E16" s="23" t="inlineStr">
        <is>
          <t>ACT</t>
        </is>
      </c>
      <c r="F16" s="24" t="inlineStr">
        <is>
          <t>TEN</t>
        </is>
      </c>
      <c r="G16" s="24" t="inlineStr">
        <is>
          <t>17</t>
        </is>
      </c>
      <c r="H16" s="25" t="n">
        <v>0.657</v>
      </c>
      <c r="I16" s="25" t="n"/>
      <c r="J16" s="25" t="n"/>
      <c r="K16" s="26" t="n"/>
      <c r="L16" s="25" t="n"/>
      <c r="M16" s="25" t="n">
        <v>0.6505</v>
      </c>
      <c r="N16" s="26" t="n">
        <v>4.28</v>
      </c>
      <c r="O16" s="25" t="n">
        <v>0.4091</v>
      </c>
      <c r="P16" s="25" t="n">
        <v>0.5556</v>
      </c>
      <c r="Q16" s="25" t="n">
        <v>0.1124</v>
      </c>
      <c r="R16" s="25" t="n">
        <v>0.0774</v>
      </c>
      <c r="S16" s="25" t="n">
        <v>0.784</v>
      </c>
      <c r="T16" s="26" t="n">
        <v>6</v>
      </c>
      <c r="U16" s="25" t="n">
        <v>0.0208</v>
      </c>
      <c r="V16" s="25" t="n"/>
      <c r="W16" s="27" t="n">
        <v>17</v>
      </c>
      <c r="X16" s="28" t="n"/>
      <c r="Y16" s="28" t="n"/>
      <c r="Z16" s="28" t="n"/>
      <c r="AA16" s="28" t="n">
        <v>0.5444</v>
      </c>
      <c r="AB16" s="29" t="n">
        <v>4.2</v>
      </c>
      <c r="AC16" s="28" t="n">
        <v>0.3474</v>
      </c>
      <c r="AD16" s="28" t="n">
        <v>0.08160000000000001</v>
      </c>
      <c r="AE16" s="28" t="n">
        <v>0.7835</v>
      </c>
      <c r="AF16" s="29" t="n">
        <v>5.85</v>
      </c>
      <c r="AG16" s="28" t="n"/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Tyjae Spears</t>
        </is>
      </c>
      <c r="C17" s="35" t="n">
        <v>2</v>
      </c>
      <c r="D17" s="35" t="inlineStr">
        <is>
          <t>25</t>
        </is>
      </c>
      <c r="E17" s="42" t="inlineStr">
        <is>
          <t>ACT</t>
        </is>
      </c>
      <c r="F17" s="24" t="inlineStr">
        <is>
          <t>TEN</t>
        </is>
      </c>
      <c r="G17" s="24" t="inlineStr">
        <is>
          <t>13</t>
        </is>
      </c>
      <c r="H17" s="25" t="n">
        <v>0.463</v>
      </c>
      <c r="I17" s="25" t="n"/>
      <c r="J17" s="25" t="n"/>
      <c r="K17" s="26" t="n"/>
      <c r="L17" s="25" t="n"/>
      <c r="M17" s="25" t="n">
        <v>0.1935</v>
      </c>
      <c r="N17" s="26" t="n">
        <v>4.02</v>
      </c>
      <c r="O17" s="25" t="n">
        <v>0.2273</v>
      </c>
      <c r="P17" s="25" t="n">
        <v>0.2222</v>
      </c>
      <c r="Q17" s="25" t="n">
        <v>0.06900000000000001</v>
      </c>
      <c r="R17" s="25" t="n">
        <v>0.09429999999999999</v>
      </c>
      <c r="S17" s="25" t="n">
        <v>0.849</v>
      </c>
      <c r="T17" s="26" t="n">
        <v>6.68</v>
      </c>
      <c r="U17" s="25" t="n">
        <v>0.1458</v>
      </c>
      <c r="V17" s="25" t="n"/>
      <c r="W17" s="27" t="n">
        <v>17</v>
      </c>
      <c r="X17" s="28" t="n"/>
      <c r="Y17" s="28" t="n"/>
      <c r="Z17" s="28" t="n"/>
      <c r="AA17" s="28" t="n">
        <v>0.1882</v>
      </c>
      <c r="AB17" s="29" t="n">
        <v>4.09</v>
      </c>
      <c r="AC17" s="28" t="n">
        <v>0.1633</v>
      </c>
      <c r="AD17" s="28" t="n">
        <v>0.0689</v>
      </c>
      <c r="AE17" s="28" t="n">
        <v>0.849</v>
      </c>
      <c r="AF17" s="29" t="n">
        <v>6.87</v>
      </c>
      <c r="AG17" s="28" t="n">
        <v>0.042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Nicholas Singleton</t>
        </is>
      </c>
      <c r="C18" s="22" t="n">
        <v>3</v>
      </c>
      <c r="D18" s="22" t="inlineStr">
        <is>
          <t>22</t>
        </is>
      </c>
      <c r="E18" s="23" t="inlineStr">
        <is>
          <t>ACT</t>
        </is>
      </c>
      <c r="F18" s="24" t="inlineStr"/>
      <c r="G18" s="24" t="inlineStr"/>
      <c r="H18" s="25" t="n"/>
      <c r="I18" s="25" t="n"/>
      <c r="J18" s="25" t="n"/>
      <c r="K18" s="26" t="n"/>
      <c r="L18" s="25" t="n"/>
      <c r="M18" s="25" t="n"/>
      <c r="N18" s="26" t="n"/>
      <c r="O18" s="25" t="n"/>
      <c r="P18" s="25" t="n"/>
      <c r="Q18" s="25" t="n"/>
      <c r="R18" s="25" t="n"/>
      <c r="S18" s="25" t="n"/>
      <c r="T18" s="26" t="n"/>
      <c r="U18" s="25" t="n"/>
      <c r="V18" s="25" t="n"/>
      <c r="W18" s="27" t="n">
        <v>17</v>
      </c>
      <c r="X18" s="28" t="n"/>
      <c r="Y18" s="28" t="n"/>
      <c r="Z18" s="28" t="n"/>
      <c r="AA18" s="28" t="n">
        <v>0.0456</v>
      </c>
      <c r="AB18" s="29" t="n">
        <v>4.13</v>
      </c>
      <c r="AC18" s="28" t="n"/>
      <c r="AD18" s="28" t="n">
        <v>0.0094</v>
      </c>
      <c r="AE18" s="28" t="n">
        <v>0.75</v>
      </c>
      <c r="AF18" s="29" t="n">
        <v>7.13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Julius Chestnut</t>
        </is>
      </c>
      <c r="C19" s="35" t="n">
        <v>4</v>
      </c>
      <c r="D19" s="35" t="inlineStr">
        <is>
          <t>25</t>
        </is>
      </c>
      <c r="E19" s="42" t="inlineStr">
        <is>
          <t>ACT</t>
        </is>
      </c>
      <c r="F19" s="24" t="inlineStr">
        <is>
          <t>TEN</t>
        </is>
      </c>
      <c r="G19" s="24" t="inlineStr">
        <is>
          <t>17</t>
        </is>
      </c>
      <c r="H19" s="25" t="n">
        <v>0.081</v>
      </c>
      <c r="I19" s="25" t="n"/>
      <c r="J19" s="25" t="n"/>
      <c r="K19" s="26" t="n"/>
      <c r="L19" s="25" t="n"/>
      <c r="M19" s="25" t="n">
        <v>0.0296</v>
      </c>
      <c r="N19" s="26" t="n">
        <v>4.64</v>
      </c>
      <c r="O19" s="25" t="n">
        <v>0.09089999999999999</v>
      </c>
      <c r="P19" s="25" t="n"/>
      <c r="Q19" s="25" t="n">
        <v>0.0059</v>
      </c>
      <c r="R19" s="25" t="n">
        <v>0.0038</v>
      </c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0.0086</v>
      </c>
      <c r="AB19" s="29" t="n">
        <v>4.3</v>
      </c>
      <c r="AC19" s="28" t="n"/>
      <c r="AD19" s="28" t="n">
        <v>0.0034</v>
      </c>
      <c r="AE19" s="28" t="n">
        <v>0.6667</v>
      </c>
      <c r="AF19" s="29" t="n">
        <v>5.5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40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Carnell Tate</t>
        </is>
      </c>
      <c r="C23" s="35" t="n">
        <v>1</v>
      </c>
      <c r="D23" s="35" t="inlineStr">
        <is>
          <t>21</t>
        </is>
      </c>
      <c r="E23" s="42" t="inlineStr">
        <is>
          <t>ACT</t>
        </is>
      </c>
      <c r="F23" s="24" t="inlineStr"/>
      <c r="G23" s="24" t="inlineStr"/>
      <c r="H23" s="25" t="n"/>
      <c r="I23" s="25" t="n"/>
      <c r="J23" s="25" t="n"/>
      <c r="K23" s="26" t="n"/>
      <c r="L23" s="25" t="n"/>
      <c r="M23" s="25" t="n"/>
      <c r="N23" s="26" t="n"/>
      <c r="O23" s="25" t="n"/>
      <c r="P23" s="25" t="n"/>
      <c r="Q23" s="25" t="n"/>
      <c r="R23" s="25" t="n"/>
      <c r="S23" s="25" t="n"/>
      <c r="T23" s="26" t="n"/>
      <c r="U23" s="25" t="n"/>
      <c r="V23" s="25" t="n"/>
      <c r="W23" s="27" t="n">
        <v>17</v>
      </c>
      <c r="X23" s="28" t="n"/>
      <c r="Y23" s="28" t="n"/>
      <c r="Z23" s="28" t="n"/>
      <c r="AA23" s="28" t="n">
        <v>0.0169</v>
      </c>
      <c r="AB23" s="29" t="n"/>
      <c r="AC23" s="28" t="n"/>
      <c r="AD23" s="28" t="n">
        <v>0.1867</v>
      </c>
      <c r="AE23" s="28" t="n">
        <v>0.65</v>
      </c>
      <c r="AF23" s="29" t="n">
        <v>12.84</v>
      </c>
      <c r="AG23" s="28" t="n"/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Wan'Dale Robinson</t>
        </is>
      </c>
      <c r="C24" s="22" t="n">
        <v>2</v>
      </c>
      <c r="D24" s="22" t="inlineStr">
        <is>
          <t>25</t>
        </is>
      </c>
      <c r="E24" s="41" t="inlineStr">
        <is>
          <t>QUESTIONABLE</t>
        </is>
      </c>
      <c r="F24" s="24" t="inlineStr">
        <is>
          <t>NYG</t>
        </is>
      </c>
      <c r="G24" s="24" t="inlineStr">
        <is>
          <t>16</t>
        </is>
      </c>
      <c r="H24" s="25" t="n">
        <v>0.8129999999999999</v>
      </c>
      <c r="I24" s="25" t="n"/>
      <c r="J24" s="25" t="n"/>
      <c r="K24" s="26" t="n"/>
      <c r="L24" s="25" t="n"/>
      <c r="M24" s="25" t="n">
        <v>0.006</v>
      </c>
      <c r="N24" s="26" t="n"/>
      <c r="O24" s="25" t="n"/>
      <c r="P24" s="25" t="n"/>
      <c r="Q24" s="25" t="n">
        <v>0.2527</v>
      </c>
      <c r="R24" s="25" t="n">
        <v>0.2783</v>
      </c>
      <c r="S24" s="25" t="n">
        <v>0.68</v>
      </c>
      <c r="T24" s="26" t="n">
        <v>9.49</v>
      </c>
      <c r="U24" s="25" t="n">
        <v>0.1833</v>
      </c>
      <c r="V24" s="25" t="n">
        <v>0.1905</v>
      </c>
      <c r="W24" s="27" t="n">
        <v>17</v>
      </c>
      <c r="X24" s="28" t="n"/>
      <c r="Y24" s="28" t="n"/>
      <c r="Z24" s="28" t="n"/>
      <c r="AA24" s="28" t="n">
        <v>0.0053</v>
      </c>
      <c r="AB24" s="29" t="n"/>
      <c r="AC24" s="28" t="n">
        <v>0.0694</v>
      </c>
      <c r="AD24" s="28" t="n">
        <v>0.1069</v>
      </c>
      <c r="AE24" s="28" t="n">
        <v>0.6803</v>
      </c>
      <c r="AF24" s="29" t="n">
        <v>9.130000000000001</v>
      </c>
      <c r="AG24" s="28" t="n">
        <v>0.1232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Calvin Ridley</t>
        </is>
      </c>
      <c r="C25" s="35" t="n">
        <v>3</v>
      </c>
      <c r="D25" s="35" t="inlineStr">
        <is>
          <t>31</t>
        </is>
      </c>
      <c r="E25" s="42" t="inlineStr">
        <is>
          <t>ACT</t>
        </is>
      </c>
      <c r="F25" s="24" t="inlineStr">
        <is>
          <t>TEN</t>
        </is>
      </c>
      <c r="G25" s="24" t="inlineStr">
        <is>
          <t>7</t>
        </is>
      </c>
      <c r="H25" s="25" t="n">
        <v>0.7</v>
      </c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>
        <v>0.2367</v>
      </c>
      <c r="R25" s="25" t="n">
        <v>0.0679</v>
      </c>
      <c r="S25" s="25" t="n">
        <v>0.523</v>
      </c>
      <c r="T25" s="26" t="n">
        <v>15.74</v>
      </c>
      <c r="U25" s="25" t="n">
        <v>0.0208</v>
      </c>
      <c r="V25" s="25" t="n"/>
      <c r="W25" s="27" t="n">
        <v>17</v>
      </c>
      <c r="X25" s="28" t="n"/>
      <c r="Y25" s="28" t="n"/>
      <c r="Z25" s="28" t="n"/>
      <c r="AA25" s="28" t="n">
        <v>0.0118</v>
      </c>
      <c r="AB25" s="29" t="n">
        <v>4.59</v>
      </c>
      <c r="AC25" s="28" t="n">
        <v>0.0631</v>
      </c>
      <c r="AD25" s="28" t="n">
        <v>0.1213</v>
      </c>
      <c r="AE25" s="28" t="n">
        <v>0.5227000000000001</v>
      </c>
      <c r="AF25" s="29" t="n">
        <v>14.88</v>
      </c>
      <c r="AG25" s="28" t="n">
        <v>0.184</v>
      </c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Elic Ayomanor</t>
        </is>
      </c>
      <c r="C26" s="22" t="n">
        <v>4</v>
      </c>
      <c r="D26" s="22" t="inlineStr">
        <is>
          <t>23</t>
        </is>
      </c>
      <c r="E26" s="23" t="inlineStr">
        <is>
          <t>ACT</t>
        </is>
      </c>
      <c r="F26" s="24" t="inlineStr">
        <is>
          <t>TEN</t>
        </is>
      </c>
      <c r="G26" s="24" t="inlineStr">
        <is>
          <t>16</t>
        </is>
      </c>
      <c r="H26" s="25" t="n">
        <v>0.806</v>
      </c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/>
      <c r="R26" s="25" t="n">
        <v>0.1679</v>
      </c>
      <c r="S26" s="25" t="n">
        <v>0.461</v>
      </c>
      <c r="T26" s="26" t="n">
        <v>12.56</v>
      </c>
      <c r="U26" s="25" t="n">
        <v>0.1667</v>
      </c>
      <c r="V26" s="25" t="n">
        <v>0.2667</v>
      </c>
      <c r="W26" s="27" t="n">
        <v>17</v>
      </c>
      <c r="X26" s="28" t="n"/>
      <c r="Y26" s="28" t="n"/>
      <c r="Z26" s="28" t="n"/>
      <c r="AA26" s="28" t="n">
        <v>0.0008</v>
      </c>
      <c r="AB26" s="29" t="n"/>
      <c r="AC26" s="28" t="n"/>
      <c r="AD26" s="28" t="n">
        <v>0.1</v>
      </c>
      <c r="AE26" s="28" t="n">
        <v>0.4607</v>
      </c>
      <c r="AF26" s="29" t="n">
        <v>12.56</v>
      </c>
      <c r="AG26" s="28" t="n">
        <v>0.1929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Chimere Dike</t>
        </is>
      </c>
      <c r="C27" s="35" t="n">
        <v>5</v>
      </c>
      <c r="D27" s="35" t="inlineStr">
        <is>
          <t>24</t>
        </is>
      </c>
      <c r="E27" s="42" t="inlineStr">
        <is>
          <t>ACT</t>
        </is>
      </c>
      <c r="F27" s="24" t="inlineStr">
        <is>
          <t>TEN</t>
        </is>
      </c>
      <c r="G27" s="24" t="inlineStr">
        <is>
          <t>17</t>
        </is>
      </c>
      <c r="H27" s="25" t="n">
        <v>0.593</v>
      </c>
      <c r="I27" s="25" t="n"/>
      <c r="J27" s="25" t="n"/>
      <c r="K27" s="26" t="n"/>
      <c r="L27" s="25" t="n"/>
      <c r="M27" s="25" t="n">
        <v>0.0296</v>
      </c>
      <c r="N27" s="26" t="n"/>
      <c r="O27" s="25" t="n">
        <v>0.0455</v>
      </c>
      <c r="P27" s="25" t="n"/>
      <c r="Q27" s="25" t="n"/>
      <c r="R27" s="25" t="n">
        <v>0.1396</v>
      </c>
      <c r="S27" s="25" t="n">
        <v>0.649</v>
      </c>
      <c r="T27" s="26" t="n">
        <v>8.81</v>
      </c>
      <c r="U27" s="25" t="n">
        <v>0.2917</v>
      </c>
      <c r="V27" s="25" t="n">
        <v>0.2667</v>
      </c>
      <c r="W27" s="27" t="n">
        <v>17</v>
      </c>
      <c r="X27" s="28" t="n"/>
      <c r="Y27" s="28" t="n"/>
      <c r="Z27" s="28" t="n"/>
      <c r="AA27" s="28" t="n">
        <v>0.0059</v>
      </c>
      <c r="AB27" s="29" t="n"/>
      <c r="AC27" s="28" t="n"/>
      <c r="AD27" s="28" t="n">
        <v>0.0781</v>
      </c>
      <c r="AE27" s="28" t="n">
        <v>0.6486</v>
      </c>
      <c r="AF27" s="29" t="n">
        <v>8.81</v>
      </c>
      <c r="AG27" s="28" t="n">
        <v>0.1929</v>
      </c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Xavier Restrepo</t>
        </is>
      </c>
      <c r="C28" s="22" t="n">
        <v>6</v>
      </c>
      <c r="D28" s="22" t="inlineStr">
        <is>
          <t>24</t>
        </is>
      </c>
      <c r="E28" s="23" t="inlineStr">
        <is>
          <t>ACT</t>
        </is>
      </c>
      <c r="F28" s="24" t="inlineStr">
        <is>
          <t>TEN</t>
        </is>
      </c>
      <c r="G28" s="24" t="inlineStr">
        <is>
          <t>2</t>
        </is>
      </c>
      <c r="H28" s="25" t="n">
        <v>0.22</v>
      </c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/>
      <c r="R28" s="25" t="n">
        <v>0.0132</v>
      </c>
      <c r="S28" s="25" t="n"/>
      <c r="T28" s="26" t="n"/>
      <c r="U28" s="25" t="n">
        <v>0.0208</v>
      </c>
      <c r="V28" s="25" t="n"/>
      <c r="W28" s="27" t="n">
        <v>17</v>
      </c>
      <c r="X28" s="28" t="n"/>
      <c r="Y28" s="28" t="n"/>
      <c r="Z28" s="28" t="n"/>
      <c r="AA28" s="28" t="n">
        <v>0.0007</v>
      </c>
      <c r="AB28" s="29" t="n"/>
      <c r="AC28" s="28" t="n"/>
      <c r="AD28" s="28" t="n">
        <v>0.0109</v>
      </c>
      <c r="AE28" s="28" t="n">
        <v>0.4286</v>
      </c>
      <c r="AF28" s="29" t="n">
        <v>13.67</v>
      </c>
      <c r="AG28" s="28" t="n"/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Caleb Scott</t>
        </is>
      </c>
      <c r="C29" s="35" t="n">
        <v>7</v>
      </c>
      <c r="D29" s="35" t="inlineStr">
        <is>
          <t>25</t>
        </is>
      </c>
      <c r="E29" s="42" t="inlineStr">
        <is>
          <t>ACT</t>
        </is>
      </c>
      <c r="F29" s="24" t="inlineStr"/>
      <c r="G29" s="24" t="inlineStr"/>
      <c r="H29" s="25" t="n"/>
      <c r="I29" s="25" t="n"/>
      <c r="J29" s="25" t="n"/>
      <c r="K29" s="26" t="n"/>
      <c r="L29" s="25" t="n"/>
      <c r="M29" s="25" t="n"/>
      <c r="N29" s="26" t="n"/>
      <c r="O29" s="25" t="n"/>
      <c r="P29" s="25" t="n"/>
      <c r="Q29" s="25" t="n"/>
      <c r="R29" s="25" t="n"/>
      <c r="S29" s="25" t="n"/>
      <c r="T29" s="26" t="n"/>
      <c r="U29" s="25" t="n"/>
      <c r="V29" s="25" t="n"/>
      <c r="W29" s="27" t="n">
        <v>17</v>
      </c>
      <c r="X29" s="28" t="n"/>
      <c r="Y29" s="28" t="n"/>
      <c r="Z29" s="28" t="n"/>
      <c r="AA29" s="28" t="n">
        <v>0.0022</v>
      </c>
      <c r="AB29" s="29" t="n"/>
      <c r="AC29" s="28" t="n"/>
      <c r="AD29" s="28" t="n">
        <v>0.0059</v>
      </c>
      <c r="AE29" s="28" t="n">
        <v>0.65</v>
      </c>
      <c r="AF29" s="29" t="n">
        <v>12.84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40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Gunnar Helm</t>
        </is>
      </c>
      <c r="C32" s="22" t="n">
        <v>1</v>
      </c>
      <c r="D32" s="22" t="inlineStr">
        <is>
          <t>23</t>
        </is>
      </c>
      <c r="E32" s="23" t="inlineStr">
        <is>
          <t>ACT</t>
        </is>
      </c>
      <c r="F32" s="24" t="inlineStr">
        <is>
          <t>TEN</t>
        </is>
      </c>
      <c r="G32" s="24" t="inlineStr">
        <is>
          <t>16</t>
        </is>
      </c>
      <c r="H32" s="25" t="n">
        <v>0.526</v>
      </c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/>
      <c r="R32" s="25" t="n">
        <v>0.1038</v>
      </c>
      <c r="S32" s="25" t="n">
        <v>0.8</v>
      </c>
      <c r="T32" s="26" t="n">
        <v>8.109999999999999</v>
      </c>
      <c r="U32" s="25" t="n">
        <v>0.1458</v>
      </c>
      <c r="V32" s="25" t="n">
        <v>0.1333</v>
      </c>
      <c r="W32" s="27" t="n">
        <v>17</v>
      </c>
      <c r="X32" s="28" t="n"/>
      <c r="Y32" s="28" t="n"/>
      <c r="Z32" s="28" t="n"/>
      <c r="AA32" s="28" t="n">
        <v>0.0011</v>
      </c>
      <c r="AB32" s="29" t="n"/>
      <c r="AC32" s="28" t="n"/>
      <c r="AD32" s="28" t="n">
        <v>0.0998</v>
      </c>
      <c r="AE32" s="28" t="n">
        <v>0.8</v>
      </c>
      <c r="AF32" s="29" t="n">
        <v>8.109999999999999</v>
      </c>
      <c r="AG32" s="28" t="n">
        <v>0.0964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Daniel Bellinger</t>
        </is>
      </c>
      <c r="C33" s="35" t="n">
        <v>2</v>
      </c>
      <c r="D33" s="35" t="inlineStr">
        <is>
          <t>25</t>
        </is>
      </c>
      <c r="E33" s="42" t="inlineStr">
        <is>
          <t>ACT</t>
        </is>
      </c>
      <c r="F33" s="24" t="inlineStr">
        <is>
          <t>NYG</t>
        </is>
      </c>
      <c r="G33" s="24" t="inlineStr">
        <is>
          <t>16</t>
        </is>
      </c>
      <c r="H33" s="25" t="n">
        <v>0.477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0.0307</v>
      </c>
      <c r="R33" s="25" t="n">
        <v>0.0517</v>
      </c>
      <c r="S33" s="25" t="n">
        <v>0.793</v>
      </c>
      <c r="T33" s="26" t="n">
        <v>12.16</v>
      </c>
      <c r="U33" s="25" t="n">
        <v>0.1</v>
      </c>
      <c r="V33" s="25" t="n">
        <v>0.09520000000000001</v>
      </c>
      <c r="W33" s="27" t="n">
        <v>17</v>
      </c>
      <c r="X33" s="28" t="n"/>
      <c r="Y33" s="28" t="n"/>
      <c r="Z33" s="28" t="n"/>
      <c r="AA33" s="28" t="n">
        <v>0.0021</v>
      </c>
      <c r="AB33" s="29" t="n"/>
      <c r="AC33" s="28" t="n"/>
      <c r="AD33" s="28" t="n">
        <v>0.048</v>
      </c>
      <c r="AE33" s="28" t="n">
        <v>0.7927999999999999</v>
      </c>
      <c r="AF33" s="29" t="n">
        <v>11.48</v>
      </c>
      <c r="AG33" s="28" t="n">
        <v>0.0688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Kylen Granson</t>
        </is>
      </c>
      <c r="C34" s="22" t="n">
        <v>3</v>
      </c>
      <c r="D34" s="22" t="inlineStr">
        <is>
          <t>28</t>
        </is>
      </c>
      <c r="E34" s="23" t="inlineStr">
        <is>
          <t>ACT</t>
        </is>
      </c>
      <c r="F34" s="24" t="inlineStr">
        <is>
          <t>PHI</t>
        </is>
      </c>
      <c r="G34" s="24" t="inlineStr">
        <is>
          <t>17</t>
        </is>
      </c>
      <c r="H34" s="25" t="n">
        <v>0.338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0.063</v>
      </c>
      <c r="R34" s="25" t="n">
        <v>0.0194</v>
      </c>
      <c r="S34" s="25" t="n">
        <v>0.507</v>
      </c>
      <c r="T34" s="26" t="n">
        <v>12.73</v>
      </c>
      <c r="U34" s="25" t="n">
        <v>0.0185</v>
      </c>
      <c r="V34" s="25" t="n"/>
      <c r="W34" s="27" t="n">
        <v>17</v>
      </c>
      <c r="X34" s="28" t="n"/>
      <c r="Y34" s="28" t="n"/>
      <c r="Z34" s="28" t="n"/>
      <c r="AA34" s="28" t="n">
        <v>0.0021</v>
      </c>
      <c r="AB34" s="29" t="n">
        <v>2</v>
      </c>
      <c r="AC34" s="28" t="n"/>
      <c r="AD34" s="28" t="n">
        <v>0.0049</v>
      </c>
      <c r="AE34" s="28" t="n">
        <v>0.6454</v>
      </c>
      <c r="AF34" s="29" t="n">
        <v>11.57</v>
      </c>
      <c r="AG34" s="28" t="n">
        <v>0.0402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David Martin-Robinson</t>
        </is>
      </c>
      <c r="C35" s="35" t="n">
        <v>4</v>
      </c>
      <c r="D35" s="35" t="inlineStr">
        <is>
          <t>26</t>
        </is>
      </c>
      <c r="E35" s="42" t="inlineStr">
        <is>
          <t>ACT</t>
        </is>
      </c>
      <c r="F35" s="24" t="inlineStr">
        <is>
          <t>TEN</t>
        </is>
      </c>
      <c r="G35" s="24" t="inlineStr">
        <is>
          <t>17</t>
        </is>
      </c>
      <c r="H35" s="25" t="n">
        <v>0.144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>
        <v>0.0039</v>
      </c>
      <c r="R35" s="25" t="n">
        <v>0.0113</v>
      </c>
      <c r="S35" s="25" t="n"/>
      <c r="T35" s="26" t="n"/>
      <c r="U35" s="25" t="n">
        <v>0.0208</v>
      </c>
      <c r="V35" s="25" t="n">
        <v>0.0667</v>
      </c>
      <c r="W35" s="27" t="n">
        <v>17</v>
      </c>
      <c r="X35" s="28" t="n"/>
      <c r="Y35" s="28" t="n"/>
      <c r="Z35" s="28" t="n"/>
      <c r="AA35" s="28" t="n">
        <v>0.0008</v>
      </c>
      <c r="AB35" s="29" t="n"/>
      <c r="AC35" s="28" t="n"/>
      <c r="AD35" s="28" t="n">
        <v>0.0069</v>
      </c>
      <c r="AE35" s="28" t="n">
        <v>0.6417</v>
      </c>
      <c r="AF35" s="29" t="n">
        <v>7.2</v>
      </c>
      <c r="AG35" s="28" t="n">
        <v>0.046</v>
      </c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V4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6" customWidth="1" min="20" max="20"/>
    <col width="7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  <col width="7" customWidth="1" min="27" max="27"/>
    <col width="6" customWidth="1" min="28" max="28"/>
    <col width="8" customWidth="1" min="29" max="29"/>
    <col width="7" customWidth="1" min="30" max="30"/>
    <col width="7" customWidth="1" min="31" max="31"/>
    <col width="6" customWidth="1" min="32" max="32"/>
    <col width="8" customWidth="1" min="33" max="33"/>
    <col width="8" customWidth="1" min="34" max="34"/>
    <col width="6" customWidth="1" min="35" max="35"/>
    <col width="8" customWidth="1" min="36" max="36"/>
    <col width="7" customWidth="1" min="37" max="37"/>
    <col width="5" customWidth="1" min="38" max="38"/>
    <col width="8" customWidth="1" min="39" max="39"/>
    <col width="8" customWidth="1" min="40" max="40"/>
    <col width="7" customWidth="1" min="41" max="41"/>
    <col width="7" customWidth="1" min="42" max="42"/>
    <col width="6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</cols>
  <sheetData>
    <row r="1">
      <c r="A1" s="4" t="inlineStr">
        <is>
          <t>WAS  -  2026</t>
        </is>
      </c>
    </row>
    <row r="2">
      <c r="A2" s="5" t="inlineStr">
        <is>
          <t>TEAM VOLUME</t>
        </is>
      </c>
      <c r="C2" s="6" t="inlineStr">
        <is>
          <t>blue = you set it; grey = calculated</t>
        </is>
      </c>
      <c r="L2" s="7" t="inlineStr">
        <is>
          <t>2025 ACTUAL</t>
        </is>
      </c>
    </row>
    <row r="3">
      <c r="B3" s="8" t="inlineStr">
        <is>
          <t>Games</t>
        </is>
      </c>
      <c r="C3" s="8" t="inlineStr">
        <is>
          <t>Team Plays</t>
        </is>
      </c>
      <c r="D3" s="8" t="inlineStr">
        <is>
          <t>Plays/G</t>
        </is>
      </c>
      <c r="E3" s="8" t="inlineStr">
        <is>
          <t>Pass Play %</t>
        </is>
      </c>
      <c r="F3" s="8" t="inlineStr">
        <is>
          <t>Pass Att</t>
        </is>
      </c>
      <c r="G3" s="8" t="inlineStr">
        <is>
          <t>Rush Att</t>
        </is>
      </c>
      <c r="H3" s="8" t="inlineStr">
        <is>
          <t>Targets</t>
        </is>
      </c>
      <c r="L3" s="8" t="inlineStr">
        <is>
          <t>Plays</t>
        </is>
      </c>
      <c r="M3" s="8" t="inlineStr">
        <is>
          <t>Plays/G</t>
        </is>
      </c>
      <c r="N3" s="8" t="inlineStr">
        <is>
          <t>Pass%</t>
        </is>
      </c>
      <c r="O3" s="8" t="inlineStr">
        <is>
          <t>PassAtt</t>
        </is>
      </c>
      <c r="P3" s="8" t="inlineStr">
        <is>
          <t>RushAtt</t>
        </is>
      </c>
      <c r="Q3" s="8" t="inlineStr">
        <is>
          <t>Y/A</t>
        </is>
      </c>
    </row>
    <row r="4">
      <c r="B4" s="9" t="n">
        <v>17</v>
      </c>
      <c r="C4" s="9" t="n">
        <v>1043</v>
      </c>
      <c r="D4" s="10">
        <f>$C$4/$B$4</f>
        <v/>
      </c>
      <c r="E4" s="11" t="n">
        <v>0.5507</v>
      </c>
      <c r="F4" s="12">
        <f>ROUND($C$4*$E$4,0)</f>
        <v/>
      </c>
      <c r="G4" s="12">
        <f>$C$4-$F$4</f>
        <v/>
      </c>
      <c r="H4" s="12">
        <f>ROUND($F$4*Settings!$B$4,0)</f>
        <v/>
      </c>
      <c r="L4" s="13" t="n">
        <v>990</v>
      </c>
      <c r="M4" s="14" t="n">
        <v>58.2353</v>
      </c>
      <c r="N4" s="15" t="n">
        <v>0.5111</v>
      </c>
      <c r="O4" s="13" t="n">
        <v>469</v>
      </c>
      <c r="P4" s="13" t="n">
        <v>484</v>
      </c>
      <c r="Q4" s="16" t="n">
        <v>7.0981</v>
      </c>
    </row>
    <row r="5">
      <c r="A5" s="5" t="inlineStr">
        <is>
          <t>TEAM SCORING &amp; YARDS</t>
        </is>
      </c>
      <c r="C5" s="6" t="inlineStr">
        <is>
          <t>TDs from Vegas implied points; yards are a historical REFERENCE, not a cap</t>
        </is>
      </c>
    </row>
    <row r="6">
      <c r="B6" s="8" t="inlineStr">
        <is>
          <t>Total TD</t>
        </is>
      </c>
      <c r="C6" s="8" t="inlineStr">
        <is>
          <t>Rush TD %</t>
        </is>
      </c>
      <c r="D6" s="8" t="inlineStr">
        <is>
          <t>Rush TD</t>
        </is>
      </c>
      <c r="E6" s="8" t="inlineStr">
        <is>
          <t>Pass TD</t>
        </is>
      </c>
      <c r="F6" s="8" t="inlineStr">
        <is>
          <t>~Pass Yds</t>
        </is>
      </c>
      <c r="G6" s="8" t="inlineStr">
        <is>
          <t>~Rush Yds</t>
        </is>
      </c>
      <c r="H6" s="8" t="inlineStr">
        <is>
          <t>~Rec Yds</t>
        </is>
      </c>
      <c r="L6" s="8" t="inlineStr">
        <is>
          <t>PassYds</t>
        </is>
      </c>
      <c r="M6" s="8" t="inlineStr">
        <is>
          <t>RushYds</t>
        </is>
      </c>
      <c r="N6" s="8" t="inlineStr">
        <is>
          <t>PassTD</t>
        </is>
      </c>
      <c r="O6" s="8" t="inlineStr">
        <is>
          <t>RushTD</t>
        </is>
      </c>
      <c r="P6" s="8" t="inlineStr">
        <is>
          <t>TotTD</t>
        </is>
      </c>
      <c r="Q6" s="8" t="inlineStr">
        <is>
          <t>RuTD%</t>
        </is>
      </c>
    </row>
    <row r="7">
      <c r="B7" s="17" t="n">
        <v>41.4</v>
      </c>
      <c r="C7" s="11" t="n">
        <v>0.4286</v>
      </c>
      <c r="D7" s="10">
        <f>$B$7*$C$7</f>
        <v/>
      </c>
      <c r="E7" s="10">
        <f>$B$7-$D$7</f>
        <v/>
      </c>
      <c r="F7" s="12" t="n">
        <v>3761</v>
      </c>
      <c r="G7" s="12" t="n">
        <v>2161</v>
      </c>
      <c r="H7" s="12">
        <f>$F$7</f>
        <v/>
      </c>
      <c r="L7" s="13" t="n">
        <v>3329</v>
      </c>
      <c r="M7" s="13" t="n">
        <v>2290</v>
      </c>
      <c r="N7" s="14" t="n">
        <v>19</v>
      </c>
      <c r="O7" s="14" t="n">
        <v>20</v>
      </c>
      <c r="P7" s="14" t="n">
        <v>39</v>
      </c>
      <c r="Q7" s="15" t="n">
        <v>0.5128205128205128</v>
      </c>
    </row>
    <row r="8"/>
    <row r="9">
      <c r="A9" s="5" t="inlineStr">
        <is>
          <t>NOTES</t>
        </is>
      </c>
      <c r="B9" s="18" t="inlineStr">
        <is>
          <t>59% of targets and 42% of carries left this roster.  HC unchanged. OC David Blough under Dan Quinn. Shift from shotgun-heavy (86.9%) toward under-center; more play-action.</t>
        </is>
      </c>
    </row>
    <row r="10"/>
    <row r="11">
      <c r="A11" s="19" t="inlineStr">
        <is>
          <t>Pos</t>
        </is>
      </c>
      <c r="B11" s="19" t="inlineStr">
        <is>
          <t>Player</t>
        </is>
      </c>
      <c r="C11" s="19" t="inlineStr">
        <is>
          <t>Dep</t>
        </is>
      </c>
      <c r="D11" s="19" t="inlineStr">
        <is>
          <t>Age</t>
        </is>
      </c>
      <c r="E11" s="19" t="inlineStr">
        <is>
          <t>Status</t>
        </is>
      </c>
      <c r="F11" s="19" t="inlineStr">
        <is>
          <t>'25 Tm</t>
        </is>
      </c>
      <c r="G11" s="19" t="inlineStr">
        <is>
          <t>'25 G</t>
        </is>
      </c>
      <c r="H11" s="19" t="inlineStr">
        <is>
          <t>Snap%</t>
        </is>
      </c>
      <c r="I11" s="19" t="inlineStr">
        <is>
          <t>'25 Pass%</t>
        </is>
      </c>
      <c r="J11" s="19" t="inlineStr">
        <is>
          <t>3y Cmp%</t>
        </is>
      </c>
      <c r="K11" s="19" t="inlineStr">
        <is>
          <t>3y Y/A</t>
        </is>
      </c>
      <c r="L11" s="19" t="inlineStr">
        <is>
          <t>3y Int%</t>
        </is>
      </c>
      <c r="M11" s="19" t="inlineStr">
        <is>
          <t>'25 Rush%</t>
        </is>
      </c>
      <c r="N11" s="19" t="inlineStr">
        <is>
          <t>3y Y/C</t>
        </is>
      </c>
      <c r="O11" s="19" t="inlineStr">
        <is>
          <t>'25 RZRu%</t>
        </is>
      </c>
      <c r="P11" s="19" t="inlineStr">
        <is>
          <t>'25 RuTD%</t>
        </is>
      </c>
      <c r="Q11" s="19" t="inlineStr">
        <is>
          <t>'24 Tgt%</t>
        </is>
      </c>
      <c r="R11" s="19" t="inlineStr">
        <is>
          <t>'25 Tgt%</t>
        </is>
      </c>
      <c r="S11" s="19" t="inlineStr">
        <is>
          <t>3y Ctch</t>
        </is>
      </c>
      <c r="T11" s="19" t="inlineStr">
        <is>
          <t>3y Y/R</t>
        </is>
      </c>
      <c r="U11" s="19" t="inlineStr">
        <is>
          <t>'25 RZTg%</t>
        </is>
      </c>
      <c r="V11" s="19" t="inlineStr">
        <is>
          <t>'25 ReTD%</t>
        </is>
      </c>
      <c r="W11" s="19" t="inlineStr">
        <is>
          <t>Games</t>
        </is>
      </c>
      <c r="X11" s="19" t="inlineStr">
        <is>
          <t>Pass %</t>
        </is>
      </c>
      <c r="Y11" s="19" t="inlineStr">
        <is>
          <t>Comp %</t>
        </is>
      </c>
      <c r="Z11" s="19" t="inlineStr">
        <is>
          <t>Int Rate</t>
        </is>
      </c>
      <c r="AA11" s="19" t="inlineStr">
        <is>
          <t>Rush %</t>
        </is>
      </c>
      <c r="AB11" s="19" t="inlineStr">
        <is>
          <t>Y/C</t>
        </is>
      </c>
      <c r="AC11" s="19" t="inlineStr">
        <is>
          <t>Rush TD %</t>
        </is>
      </c>
      <c r="AD11" s="19" t="inlineStr">
        <is>
          <t>Tgt %</t>
        </is>
      </c>
      <c r="AE11" s="19" t="inlineStr">
        <is>
          <t>Catch %</t>
        </is>
      </c>
      <c r="AF11" s="19" t="inlineStr">
        <is>
          <t>Y/R</t>
        </is>
      </c>
      <c r="AG11" s="19" t="inlineStr">
        <is>
          <t>Rec TD %</t>
        </is>
      </c>
      <c r="AH11" s="19" t="inlineStr">
        <is>
          <t>Pass Att</t>
        </is>
      </c>
      <c r="AI11" s="19" t="inlineStr">
        <is>
          <t>Cmp</t>
        </is>
      </c>
      <c r="AJ11" s="19" t="inlineStr">
        <is>
          <t>Pass Yds</t>
        </is>
      </c>
      <c r="AK11" s="19" t="inlineStr">
        <is>
          <t>Pass TD</t>
        </is>
      </c>
      <c r="AL11" s="19" t="inlineStr">
        <is>
          <t>Int</t>
        </is>
      </c>
      <c r="AM11" s="19" t="inlineStr">
        <is>
          <t>Rush Att</t>
        </is>
      </c>
      <c r="AN11" s="19" t="inlineStr">
        <is>
          <t>Rush Yds</t>
        </is>
      </c>
      <c r="AO11" s="19" t="inlineStr">
        <is>
          <t>Rush TD</t>
        </is>
      </c>
      <c r="AP11" s="19" t="inlineStr">
        <is>
          <t>Targets</t>
        </is>
      </c>
      <c r="AQ11" s="19" t="inlineStr">
        <is>
          <t>Rec</t>
        </is>
      </c>
      <c r="AR11" s="19" t="inlineStr">
        <is>
          <t>Rec Yds</t>
        </is>
      </c>
      <c r="AS11" s="19" t="inlineStr">
        <is>
          <t>Rec TD</t>
        </is>
      </c>
      <c r="AT11" s="19" t="inlineStr">
        <is>
          <t>STD</t>
        </is>
      </c>
      <c r="AU11" s="19" t="inlineStr">
        <is>
          <t>Half</t>
        </is>
      </c>
      <c r="AV11" s="19" t="inlineStr">
        <is>
          <t>PPR</t>
        </is>
      </c>
    </row>
    <row r="12">
      <c r="A12" s="20" t="inlineStr">
        <is>
          <t>QB</t>
        </is>
      </c>
      <c r="B12" s="21" t="inlineStr">
        <is>
          <t>Jayden Daniels</t>
        </is>
      </c>
      <c r="C12" s="22" t="n">
        <v>1</v>
      </c>
      <c r="D12" s="22" t="inlineStr">
        <is>
          <t>25</t>
        </is>
      </c>
      <c r="E12" s="23" t="inlineStr">
        <is>
          <t>ACT</t>
        </is>
      </c>
      <c r="F12" s="24" t="inlineStr">
        <is>
          <t>WAS</t>
        </is>
      </c>
      <c r="G12" s="24" t="inlineStr">
        <is>
          <t>7</t>
        </is>
      </c>
      <c r="H12" s="25" t="n">
        <v>0.905</v>
      </c>
      <c r="I12" s="25" t="n">
        <v>0.4009</v>
      </c>
      <c r="J12" s="25" t="n">
        <v>0.656</v>
      </c>
      <c r="K12" s="26" t="n">
        <v>7.14</v>
      </c>
      <c r="L12" s="25" t="n">
        <v>0.018</v>
      </c>
      <c r="M12" s="25" t="n">
        <v>0.1123</v>
      </c>
      <c r="N12" s="26" t="n">
        <v>5.99</v>
      </c>
      <c r="O12" s="25" t="n">
        <v>0.0674</v>
      </c>
      <c r="P12" s="25" t="n">
        <v>0.1</v>
      </c>
      <c r="Q12" s="25" t="n"/>
      <c r="R12" s="25" t="n"/>
      <c r="S12" s="25" t="n"/>
      <c r="T12" s="26" t="n"/>
      <c r="U12" s="25" t="n"/>
      <c r="V12" s="25" t="n"/>
      <c r="W12" s="27" t="n">
        <v>17</v>
      </c>
      <c r="X12" s="28" t="n">
        <v>0.5817</v>
      </c>
      <c r="Y12" s="28" t="n">
        <v>0.656</v>
      </c>
      <c r="Z12" s="28" t="n">
        <v>0.018</v>
      </c>
      <c r="AA12" s="28" t="n">
        <v>0.1682</v>
      </c>
      <c r="AB12" s="29" t="n">
        <v>6.15</v>
      </c>
      <c r="AC12" s="28" t="n">
        <v>0.1237</v>
      </c>
      <c r="AD12" s="28" t="n"/>
      <c r="AE12" s="28" t="n"/>
      <c r="AF12" s="29" t="n"/>
      <c r="AG12" s="28" t="n"/>
      <c r="AH12" s="30">
        <f>IFERROR(X12*$F$4,0)</f>
        <v/>
      </c>
      <c r="AI12" s="30">
        <f>IFERROR(AH12*Y12,0)</f>
        <v/>
      </c>
      <c r="AJ12" s="30">
        <f>IFERROR(X12*SUM($AR$12:$AR$36),0)</f>
        <v/>
      </c>
      <c r="AK12" s="31">
        <f>IFERROR(X12*$E$7,0)</f>
        <v/>
      </c>
      <c r="AL12" s="31">
        <f>IFERROR(AH12*Z12,0)</f>
        <v/>
      </c>
      <c r="AM12" s="30">
        <f>IFERROR(AA12*$G$4,0)</f>
        <v/>
      </c>
      <c r="AN12" s="30">
        <f>IFERROR(AM12*AB12,0)</f>
        <v/>
      </c>
      <c r="AO12" s="31">
        <f>IFERROR(AC12*$D$7,0)</f>
        <v/>
      </c>
      <c r="AP12" s="30">
        <f>IFERROR(AD12*$H$4,0)</f>
        <v/>
      </c>
      <c r="AQ12" s="30">
        <f>IFERROR(AP12*AE12,0)</f>
        <v/>
      </c>
      <c r="AR12" s="30">
        <f>IFERROR(AQ12*AF12,0)</f>
        <v/>
      </c>
      <c r="AS12" s="31">
        <f>IFERROR(AG12*$E$7,0)</f>
        <v/>
      </c>
      <c r="AT12" s="31">
        <f>AN12*Settings!$B$10+AO12*Settings!$B$11+AR12*Settings!$B$7+AS12*Settings!$B$8+AJ12*Settings!$B$12+AK12*Settings!$B$13+AL12*Settings!$B$14</f>
        <v/>
      </c>
      <c r="AU12" s="32">
        <f>AN12*Settings!$B$10+AO12*Settings!$B$11+AR12*Settings!$B$7+AS12*Settings!$B$8+AJ12*Settings!$B$12+AK12*Settings!$B$13+AL12*Settings!$B$14+AQ12*Settings!$B$9</f>
        <v/>
      </c>
      <c r="AV12" s="31">
        <f>AN12*Settings!$B$10+AO12*Settings!$B$11+AR12*Settings!$B$7+AS12*Settings!$B$8+AJ12*Settings!$B$12+AK12*Settings!$B$13+AL12*Settings!$B$14+AQ12*Settings!$B$15</f>
        <v/>
      </c>
    </row>
    <row r="13">
      <c r="A13" s="33" t="inlineStr">
        <is>
          <t>QB</t>
        </is>
      </c>
      <c r="B13" s="34" t="inlineStr">
        <is>
          <t>Marcus Mariota</t>
        </is>
      </c>
      <c r="C13" s="35" t="n">
        <v>2</v>
      </c>
      <c r="D13" s="35" t="inlineStr">
        <is>
          <t>32</t>
        </is>
      </c>
      <c r="E13" s="36" t="inlineStr">
        <is>
          <t>QUESTIONABLE</t>
        </is>
      </c>
      <c r="F13" s="24" t="inlineStr">
        <is>
          <t>WAS</t>
        </is>
      </c>
      <c r="G13" s="24" t="inlineStr">
        <is>
          <t>11</t>
        </is>
      </c>
      <c r="H13" s="25" t="n">
        <v>0.572</v>
      </c>
      <c r="I13" s="25" t="n">
        <v>0.484</v>
      </c>
      <c r="J13" s="25" t="n">
        <v>0.636</v>
      </c>
      <c r="K13" s="26" t="n">
        <v>7.54</v>
      </c>
      <c r="L13" s="25" t="n">
        <v>0.028</v>
      </c>
      <c r="M13" s="25" t="n">
        <v>0.09320000000000001</v>
      </c>
      <c r="N13" s="26" t="n">
        <v>6.75</v>
      </c>
      <c r="O13" s="25" t="n">
        <v>0.07870000000000001</v>
      </c>
      <c r="P13" s="25" t="n">
        <v>0.05</v>
      </c>
      <c r="Q13" s="25" t="n"/>
      <c r="R13" s="25" t="n"/>
      <c r="S13" s="25" t="n"/>
      <c r="T13" s="26" t="n"/>
      <c r="U13" s="25" t="n"/>
      <c r="V13" s="25" t="n"/>
      <c r="W13" s="27" t="n">
        <v>17</v>
      </c>
      <c r="X13" s="28" t="n">
        <v>0.3255</v>
      </c>
      <c r="Y13" s="28" t="n">
        <v>0.636</v>
      </c>
      <c r="Z13" s="28" t="n">
        <v>0.028</v>
      </c>
      <c r="AA13" s="28" t="n">
        <v>0.0576</v>
      </c>
      <c r="AB13" s="29" t="n">
        <v>6.49</v>
      </c>
      <c r="AC13" s="28" t="n">
        <v>0.0329</v>
      </c>
      <c r="AD13" s="28" t="n"/>
      <c r="AE13" s="28" t="n"/>
      <c r="AF13" s="29" t="n"/>
      <c r="AG13" s="28" t="n"/>
      <c r="AH13" s="30">
        <f>IFERROR(X13*$F$4,0)</f>
        <v/>
      </c>
      <c r="AI13" s="30">
        <f>IFERROR(AH13*Y13,0)</f>
        <v/>
      </c>
      <c r="AJ13" s="30">
        <f>IFERROR(X13*SUM($AR$12:$AR$36),0)</f>
        <v/>
      </c>
      <c r="AK13" s="31">
        <f>IFERROR(X13*$E$7,0)</f>
        <v/>
      </c>
      <c r="AL13" s="31">
        <f>IFERROR(AH13*Z13,0)</f>
        <v/>
      </c>
      <c r="AM13" s="30">
        <f>IFERROR(AA13*$G$4,0)</f>
        <v/>
      </c>
      <c r="AN13" s="30">
        <f>IFERROR(AM13*AB13,0)</f>
        <v/>
      </c>
      <c r="AO13" s="31">
        <f>IFERROR(AC13*$D$7,0)</f>
        <v/>
      </c>
      <c r="AP13" s="30">
        <f>IFERROR(AD13*$H$4,0)</f>
        <v/>
      </c>
      <c r="AQ13" s="30">
        <f>IFERROR(AP13*AE13,0)</f>
        <v/>
      </c>
      <c r="AR13" s="30">
        <f>IFERROR(AQ13*AF13,0)</f>
        <v/>
      </c>
      <c r="AS13" s="31">
        <f>IFERROR(AG13*$E$7,0)</f>
        <v/>
      </c>
      <c r="AT13" s="31">
        <f>AN13*Settings!$B$10+AO13*Settings!$B$11+AR13*Settings!$B$7+AS13*Settings!$B$8+AJ13*Settings!$B$12+AK13*Settings!$B$13+AL13*Settings!$B$14</f>
        <v/>
      </c>
      <c r="AU13" s="32">
        <f>AN13*Settings!$B$10+AO13*Settings!$B$11+AR13*Settings!$B$7+AS13*Settings!$B$8+AJ13*Settings!$B$12+AK13*Settings!$B$13+AL13*Settings!$B$14+AQ13*Settings!$B$9</f>
        <v/>
      </c>
      <c r="AV13" s="31">
        <f>AN13*Settings!$B$10+AO13*Settings!$B$11+AR13*Settings!$B$7+AS13*Settings!$B$8+AJ13*Settings!$B$12+AK13*Settings!$B$13+AL13*Settings!$B$14+AQ13*Settings!$B$15</f>
        <v/>
      </c>
    </row>
    <row r="14">
      <c r="A14" s="20" t="inlineStr">
        <is>
          <t>QB</t>
        </is>
      </c>
      <c r="B14" s="21" t="inlineStr">
        <is>
          <t>Athan Kaliakmanis</t>
        </is>
      </c>
      <c r="C14" s="22" t="n">
        <v>3</v>
      </c>
      <c r="D14" s="22" t="inlineStr">
        <is>
          <t>23</t>
        </is>
      </c>
      <c r="E14" s="23" t="inlineStr">
        <is>
          <t>ACT</t>
        </is>
      </c>
      <c r="F14" s="24" t="inlineStr"/>
      <c r="G14" s="24" t="inlineStr"/>
      <c r="H14" s="25" t="n"/>
      <c r="I14" s="25" t="n"/>
      <c r="J14" s="25" t="n"/>
      <c r="K14" s="26" t="n"/>
      <c r="L14" s="25" t="n"/>
      <c r="M14" s="25" t="n"/>
      <c r="N14" s="26" t="n"/>
      <c r="O14" s="25" t="n"/>
      <c r="P14" s="25" t="n"/>
      <c r="Q14" s="25" t="n"/>
      <c r="R14" s="25" t="n"/>
      <c r="S14" s="25" t="n"/>
      <c r="T14" s="26" t="n"/>
      <c r="U14" s="25" t="n"/>
      <c r="V14" s="25" t="n"/>
      <c r="W14" s="27" t="n">
        <v>17</v>
      </c>
      <c r="X14" s="28" t="n">
        <v>0.07870000000000001</v>
      </c>
      <c r="Y14" s="28" t="n">
        <v>0.65</v>
      </c>
      <c r="Z14" s="28" t="n">
        <v>0.022</v>
      </c>
      <c r="AA14" s="28" t="n">
        <v>0.0163</v>
      </c>
      <c r="AB14" s="29" t="n">
        <v>4.5</v>
      </c>
      <c r="AC14" s="28" t="n"/>
      <c r="AD14" s="28" t="n"/>
      <c r="AE14" s="28" t="n"/>
      <c r="AF14" s="29" t="n"/>
      <c r="AG14" s="28" t="n"/>
      <c r="AH14" s="30">
        <f>IFERROR(X14*$F$4,0)</f>
        <v/>
      </c>
      <c r="AI14" s="30">
        <f>IFERROR(AH14*Y14,0)</f>
        <v/>
      </c>
      <c r="AJ14" s="30">
        <f>IFERROR(X14*SUM($AR$12:$AR$36),0)</f>
        <v/>
      </c>
      <c r="AK14" s="31">
        <f>IFERROR(X14*$E$7,0)</f>
        <v/>
      </c>
      <c r="AL14" s="31">
        <f>IFERROR(AH14*Z14,0)</f>
        <v/>
      </c>
      <c r="AM14" s="30">
        <f>IFERROR(AA14*$G$4,0)</f>
        <v/>
      </c>
      <c r="AN14" s="30">
        <f>IFERROR(AM14*AB14,0)</f>
        <v/>
      </c>
      <c r="AO14" s="31">
        <f>IFERROR(AC14*$D$7,0)</f>
        <v/>
      </c>
      <c r="AP14" s="30">
        <f>IFERROR(AD14*$H$4,0)</f>
        <v/>
      </c>
      <c r="AQ14" s="30">
        <f>IFERROR(AP14*AE14,0)</f>
        <v/>
      </c>
      <c r="AR14" s="30">
        <f>IFERROR(AQ14*AF14,0)</f>
        <v/>
      </c>
      <c r="AS14" s="31">
        <f>IFERROR(AG14*$E$7,0)</f>
        <v/>
      </c>
      <c r="AT14" s="31">
        <f>AN14*Settings!$B$10+AO14*Settings!$B$11+AR14*Settings!$B$7+AS14*Settings!$B$8+AJ14*Settings!$B$12+AK14*Settings!$B$13+AL14*Settings!$B$14</f>
        <v/>
      </c>
      <c r="AU14" s="32">
        <f>AN14*Settings!$B$10+AO14*Settings!$B$11+AR14*Settings!$B$7+AS14*Settings!$B$8+AJ14*Settings!$B$12+AK14*Settings!$B$13+AL14*Settings!$B$14+AQ14*Settings!$B$9</f>
        <v/>
      </c>
      <c r="AV14" s="31">
        <f>AN14*Settings!$B$10+AO14*Settings!$B$11+AR14*Settings!$B$7+AS14*Settings!$B$8+AJ14*Settings!$B$12+AK14*Settings!$B$13+AL14*Settings!$B$14+AQ14*Settings!$B$15</f>
        <v/>
      </c>
    </row>
    <row r="15">
      <c r="A15" s="37" t="inlineStr">
        <is>
          <t>QB</t>
        </is>
      </c>
      <c r="B15" s="38" t="inlineStr">
        <is>
          <t>Other QBs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40" t="n">
        <v>17</v>
      </c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0">
        <f>IFERROR(X15*$F$4,0)</f>
        <v/>
      </c>
      <c r="AI15" s="30">
        <f>IFERROR(AH15*Y15,0)</f>
        <v/>
      </c>
      <c r="AJ15" s="30">
        <f>IFERROR(X15*SUM($AR$12:$AR$36),0)</f>
        <v/>
      </c>
      <c r="AK15" s="31">
        <f>IFERROR(X15*$E$7,0)</f>
        <v/>
      </c>
      <c r="AL15" s="31">
        <f>IFERROR(AH15*Z15,0)</f>
        <v/>
      </c>
      <c r="AM15" s="30">
        <f>IFERROR(AA15*$G$4,0)</f>
        <v/>
      </c>
      <c r="AN15" s="30">
        <f>IFERROR(AM15*AB15,0)</f>
        <v/>
      </c>
      <c r="AO15" s="31">
        <f>IFERROR(AC15*$D$7,0)</f>
        <v/>
      </c>
      <c r="AP15" s="30">
        <f>IFERROR(AD15*$H$4,0)</f>
        <v/>
      </c>
      <c r="AQ15" s="30">
        <f>IFERROR(AP15*AE15,0)</f>
        <v/>
      </c>
      <c r="AR15" s="30">
        <f>IFERROR(AQ15*AF15,0)</f>
        <v/>
      </c>
      <c r="AS15" s="31">
        <f>IFERROR(AG15*$E$7,0)</f>
        <v/>
      </c>
      <c r="AT15" s="31">
        <f>AN15*Settings!$B$10+AO15*Settings!$B$11+AR15*Settings!$B$7+AS15*Settings!$B$8+AJ15*Settings!$B$12+AK15*Settings!$B$13+AL15*Settings!$B$14</f>
        <v/>
      </c>
      <c r="AU15" s="32">
        <f>AN15*Settings!$B$10+AO15*Settings!$B$11+AR15*Settings!$B$7+AS15*Settings!$B$8+AJ15*Settings!$B$12+AK15*Settings!$B$13+AL15*Settings!$B$14+AQ15*Settings!$B$9</f>
        <v/>
      </c>
      <c r="AV15" s="31">
        <f>AN15*Settings!$B$10+AO15*Settings!$B$11+AR15*Settings!$B$7+AS15*Settings!$B$8+AJ15*Settings!$B$12+AK15*Settings!$B$13+AL15*Settings!$B$14+AQ15*Settings!$B$15</f>
        <v/>
      </c>
    </row>
    <row r="16">
      <c r="A16" s="20" t="inlineStr">
        <is>
          <t>RB</t>
        </is>
      </c>
      <c r="B16" s="21" t="inlineStr">
        <is>
          <t>Jacory Croskey-Merritt</t>
        </is>
      </c>
      <c r="C16" s="22" t="n">
        <v>1</v>
      </c>
      <c r="D16" s="22" t="inlineStr">
        <is>
          <t>25</t>
        </is>
      </c>
      <c r="E16" s="41" t="inlineStr">
        <is>
          <t>QUESTIONABLE</t>
        </is>
      </c>
      <c r="F16" s="24" t="inlineStr">
        <is>
          <t>WAS</t>
        </is>
      </c>
      <c r="G16" s="24" t="inlineStr">
        <is>
          <t>17</t>
        </is>
      </c>
      <c r="H16" s="25" t="n">
        <v>0.395</v>
      </c>
      <c r="I16" s="25" t="n"/>
      <c r="J16" s="25" t="n"/>
      <c r="K16" s="26" t="n"/>
      <c r="L16" s="25" t="n"/>
      <c r="M16" s="25" t="n">
        <v>0.3708</v>
      </c>
      <c r="N16" s="26" t="n">
        <v>4.6</v>
      </c>
      <c r="O16" s="25" t="n">
        <v>0.3483</v>
      </c>
      <c r="P16" s="25" t="n">
        <v>0.4</v>
      </c>
      <c r="Q16" s="25" t="n"/>
      <c r="R16" s="25" t="n">
        <v>0.0301</v>
      </c>
      <c r="S16" s="25" t="n"/>
      <c r="T16" s="26" t="n"/>
      <c r="U16" s="25" t="n">
        <v>0.0233</v>
      </c>
      <c r="V16" s="25" t="n"/>
      <c r="W16" s="27" t="n">
        <v>17</v>
      </c>
      <c r="X16" s="28" t="n"/>
      <c r="Y16" s="28" t="n"/>
      <c r="Z16" s="28" t="n"/>
      <c r="AA16" s="28" t="n">
        <v>0.3926</v>
      </c>
      <c r="AB16" s="29" t="n">
        <v>4.6</v>
      </c>
      <c r="AC16" s="28" t="n">
        <v>0.2704</v>
      </c>
      <c r="AD16" s="28" t="n">
        <v>0.0526</v>
      </c>
      <c r="AE16" s="28" t="n">
        <v>0.6923</v>
      </c>
      <c r="AF16" s="29" t="n">
        <v>7.56</v>
      </c>
      <c r="AG16" s="28" t="n"/>
      <c r="AH16" s="30">
        <f>IFERROR(X16*$F$4,0)</f>
        <v/>
      </c>
      <c r="AI16" s="30">
        <f>IFERROR(AH16*Y16,0)</f>
        <v/>
      </c>
      <c r="AJ16" s="30">
        <f>IFERROR(X16*SUM($AR$12:$AR$36),0)</f>
        <v/>
      </c>
      <c r="AK16" s="31">
        <f>IFERROR(X16*$E$7,0)</f>
        <v/>
      </c>
      <c r="AL16" s="31">
        <f>IFERROR(AH16*Z16,0)</f>
        <v/>
      </c>
      <c r="AM16" s="30">
        <f>IFERROR(AA16*$G$4,0)</f>
        <v/>
      </c>
      <c r="AN16" s="30">
        <f>IFERROR(AM16*AB16,0)</f>
        <v/>
      </c>
      <c r="AO16" s="31">
        <f>IFERROR(AC16*$D$7,0)</f>
        <v/>
      </c>
      <c r="AP16" s="30">
        <f>IFERROR(AD16*$H$4,0)</f>
        <v/>
      </c>
      <c r="AQ16" s="30">
        <f>IFERROR(AP16*AE16,0)</f>
        <v/>
      </c>
      <c r="AR16" s="30">
        <f>IFERROR(AQ16*AF16,0)</f>
        <v/>
      </c>
      <c r="AS16" s="31">
        <f>IFERROR(AG16*$E$7,0)</f>
        <v/>
      </c>
      <c r="AT16" s="31">
        <f>AN16*Settings!$B$10+AO16*Settings!$B$11+AR16*Settings!$B$7+AS16*Settings!$B$8+AJ16*Settings!$B$12+AK16*Settings!$B$13+AL16*Settings!$B$14</f>
        <v/>
      </c>
      <c r="AU16" s="32">
        <f>AN16*Settings!$B$10+AO16*Settings!$B$11+AR16*Settings!$B$7+AS16*Settings!$B$8+AJ16*Settings!$B$12+AK16*Settings!$B$13+AL16*Settings!$B$14+AQ16*Settings!$B$9</f>
        <v/>
      </c>
      <c r="AV16" s="31">
        <f>AN16*Settings!$B$10+AO16*Settings!$B$11+AR16*Settings!$B$7+AS16*Settings!$B$8+AJ16*Settings!$B$12+AK16*Settings!$B$13+AL16*Settings!$B$14+AQ16*Settings!$B$15</f>
        <v/>
      </c>
    </row>
    <row r="17">
      <c r="A17" s="33" t="inlineStr">
        <is>
          <t>RB</t>
        </is>
      </c>
      <c r="B17" s="34" t="inlineStr">
        <is>
          <t>Rachaad White</t>
        </is>
      </c>
      <c r="C17" s="35" t="n">
        <v>2</v>
      </c>
      <c r="D17" s="35" t="inlineStr">
        <is>
          <t>27</t>
        </is>
      </c>
      <c r="E17" s="36" t="inlineStr">
        <is>
          <t>QUESTIONABLE</t>
        </is>
      </c>
      <c r="F17" s="24" t="inlineStr">
        <is>
          <t>TB</t>
        </is>
      </c>
      <c r="G17" s="24" t="inlineStr">
        <is>
          <t>17</t>
        </is>
      </c>
      <c r="H17" s="25" t="n">
        <v>0.582</v>
      </c>
      <c r="I17" s="25" t="n"/>
      <c r="J17" s="25" t="n"/>
      <c r="K17" s="26" t="n"/>
      <c r="L17" s="25" t="n"/>
      <c r="M17" s="25" t="n">
        <v>0.2857</v>
      </c>
      <c r="N17" s="26" t="n">
        <v>4.17</v>
      </c>
      <c r="O17" s="25" t="n">
        <v>0.25</v>
      </c>
      <c r="P17" s="25" t="n">
        <v>0.3077</v>
      </c>
      <c r="Q17" s="25" t="n">
        <v>0.1012</v>
      </c>
      <c r="R17" s="25" t="n">
        <v>0.0832</v>
      </c>
      <c r="S17" s="25" t="n">
        <v>0.896</v>
      </c>
      <c r="T17" s="26" t="n">
        <v>6.74</v>
      </c>
      <c r="U17" s="25" t="n">
        <v>0.1525</v>
      </c>
      <c r="V17" s="25" t="n"/>
      <c r="W17" s="27" t="n">
        <v>17</v>
      </c>
      <c r="X17" s="28" t="n"/>
      <c r="Y17" s="28" t="n"/>
      <c r="Z17" s="28" t="n"/>
      <c r="AA17" s="28" t="n">
        <v>0.1972</v>
      </c>
      <c r="AB17" s="29" t="n">
        <v>3.97</v>
      </c>
      <c r="AC17" s="28" t="n">
        <v>0.2455</v>
      </c>
      <c r="AD17" s="28" t="n">
        <v>0.0459</v>
      </c>
      <c r="AE17" s="28" t="n">
        <v>0.8957000000000001</v>
      </c>
      <c r="AF17" s="29" t="n">
        <v>7.48</v>
      </c>
      <c r="AG17" s="28" t="n">
        <v>0.09470000000000001</v>
      </c>
      <c r="AH17" s="30">
        <f>IFERROR(X17*$F$4,0)</f>
        <v/>
      </c>
      <c r="AI17" s="30">
        <f>IFERROR(AH17*Y17,0)</f>
        <v/>
      </c>
      <c r="AJ17" s="30">
        <f>IFERROR(X17*SUM($AR$12:$AR$36),0)</f>
        <v/>
      </c>
      <c r="AK17" s="31">
        <f>IFERROR(X17*$E$7,0)</f>
        <v/>
      </c>
      <c r="AL17" s="31">
        <f>IFERROR(AH17*Z17,0)</f>
        <v/>
      </c>
      <c r="AM17" s="30">
        <f>IFERROR(AA17*$G$4,0)</f>
        <v/>
      </c>
      <c r="AN17" s="30">
        <f>IFERROR(AM17*AB17,0)</f>
        <v/>
      </c>
      <c r="AO17" s="31">
        <f>IFERROR(AC17*$D$7,0)</f>
        <v/>
      </c>
      <c r="AP17" s="30">
        <f>IFERROR(AD17*$H$4,0)</f>
        <v/>
      </c>
      <c r="AQ17" s="30">
        <f>IFERROR(AP17*AE17,0)</f>
        <v/>
      </c>
      <c r="AR17" s="30">
        <f>IFERROR(AQ17*AF17,0)</f>
        <v/>
      </c>
      <c r="AS17" s="31">
        <f>IFERROR(AG17*$E$7,0)</f>
        <v/>
      </c>
      <c r="AT17" s="31">
        <f>AN17*Settings!$B$10+AO17*Settings!$B$11+AR17*Settings!$B$7+AS17*Settings!$B$8+AJ17*Settings!$B$12+AK17*Settings!$B$13+AL17*Settings!$B$14</f>
        <v/>
      </c>
      <c r="AU17" s="32">
        <f>AN17*Settings!$B$10+AO17*Settings!$B$11+AR17*Settings!$B$7+AS17*Settings!$B$8+AJ17*Settings!$B$12+AK17*Settings!$B$13+AL17*Settings!$B$14+AQ17*Settings!$B$9</f>
        <v/>
      </c>
      <c r="AV17" s="31">
        <f>AN17*Settings!$B$10+AO17*Settings!$B$11+AR17*Settings!$B$7+AS17*Settings!$B$8+AJ17*Settings!$B$12+AK17*Settings!$B$13+AL17*Settings!$B$14+AQ17*Settings!$B$15</f>
        <v/>
      </c>
    </row>
    <row r="18">
      <c r="A18" s="20" t="inlineStr">
        <is>
          <t>RB</t>
        </is>
      </c>
      <c r="B18" s="21" t="inlineStr">
        <is>
          <t>Kaytron Allen</t>
        </is>
      </c>
      <c r="C18" s="22" t="n">
        <v>3</v>
      </c>
      <c r="D18" s="22" t="inlineStr">
        <is>
          <t>23</t>
        </is>
      </c>
      <c r="E18" s="23" t="inlineStr">
        <is>
          <t>ACT</t>
        </is>
      </c>
      <c r="F18" s="24" t="inlineStr"/>
      <c r="G18" s="24" t="inlineStr"/>
      <c r="H18" s="25" t="n"/>
      <c r="I18" s="25" t="n"/>
      <c r="J18" s="25" t="n"/>
      <c r="K18" s="26" t="n"/>
      <c r="L18" s="25" t="n"/>
      <c r="M18" s="25" t="n"/>
      <c r="N18" s="26" t="n"/>
      <c r="O18" s="25" t="n"/>
      <c r="P18" s="25" t="n"/>
      <c r="Q18" s="25" t="n"/>
      <c r="R18" s="25" t="n"/>
      <c r="S18" s="25" t="n"/>
      <c r="T18" s="26" t="n"/>
      <c r="U18" s="25" t="n"/>
      <c r="V18" s="25" t="n"/>
      <c r="W18" s="27" t="n">
        <v>17</v>
      </c>
      <c r="X18" s="28" t="n"/>
      <c r="Y18" s="28" t="n"/>
      <c r="Z18" s="28" t="n"/>
      <c r="AA18" s="28" t="n">
        <v>0.028</v>
      </c>
      <c r="AB18" s="29" t="n">
        <v>4.13</v>
      </c>
      <c r="AC18" s="28" t="n"/>
      <c r="AD18" s="28" t="n">
        <v>0.0061</v>
      </c>
      <c r="AE18" s="28" t="n">
        <v>0.75</v>
      </c>
      <c r="AF18" s="29" t="n">
        <v>7.13</v>
      </c>
      <c r="AG18" s="28" t="n"/>
      <c r="AH18" s="30">
        <f>IFERROR(X18*$F$4,0)</f>
        <v/>
      </c>
      <c r="AI18" s="30">
        <f>IFERROR(AH18*Y18,0)</f>
        <v/>
      </c>
      <c r="AJ18" s="30">
        <f>IFERROR(X18*SUM($AR$12:$AR$36),0)</f>
        <v/>
      </c>
      <c r="AK18" s="31">
        <f>IFERROR(X18*$E$7,0)</f>
        <v/>
      </c>
      <c r="AL18" s="31">
        <f>IFERROR(AH18*Z18,0)</f>
        <v/>
      </c>
      <c r="AM18" s="30">
        <f>IFERROR(AA18*$G$4,0)</f>
        <v/>
      </c>
      <c r="AN18" s="30">
        <f>IFERROR(AM18*AB18,0)</f>
        <v/>
      </c>
      <c r="AO18" s="31">
        <f>IFERROR(AC18*$D$7,0)</f>
        <v/>
      </c>
      <c r="AP18" s="30">
        <f>IFERROR(AD18*$H$4,0)</f>
        <v/>
      </c>
      <c r="AQ18" s="30">
        <f>IFERROR(AP18*AE18,0)</f>
        <v/>
      </c>
      <c r="AR18" s="30">
        <f>IFERROR(AQ18*AF18,0)</f>
        <v/>
      </c>
      <c r="AS18" s="31">
        <f>IFERROR(AG18*$E$7,0)</f>
        <v/>
      </c>
      <c r="AT18" s="31">
        <f>AN18*Settings!$B$10+AO18*Settings!$B$11+AR18*Settings!$B$7+AS18*Settings!$B$8+AJ18*Settings!$B$12+AK18*Settings!$B$13+AL18*Settings!$B$14</f>
        <v/>
      </c>
      <c r="AU18" s="32">
        <f>AN18*Settings!$B$10+AO18*Settings!$B$11+AR18*Settings!$B$7+AS18*Settings!$B$8+AJ18*Settings!$B$12+AK18*Settings!$B$13+AL18*Settings!$B$14+AQ18*Settings!$B$9</f>
        <v/>
      </c>
      <c r="AV18" s="31">
        <f>AN18*Settings!$B$10+AO18*Settings!$B$11+AR18*Settings!$B$7+AS18*Settings!$B$8+AJ18*Settings!$B$12+AK18*Settings!$B$13+AL18*Settings!$B$14+AQ18*Settings!$B$15</f>
        <v/>
      </c>
    </row>
    <row r="19">
      <c r="A19" s="33" t="inlineStr">
        <is>
          <t>RB</t>
        </is>
      </c>
      <c r="B19" s="34" t="inlineStr">
        <is>
          <t>Wendell Smallwood</t>
        </is>
      </c>
      <c r="C19" s="35" t="n">
        <v>4</v>
      </c>
      <c r="D19" s="35" t="inlineStr">
        <is>
          <t>27</t>
        </is>
      </c>
      <c r="E19" s="42" t="inlineStr">
        <is>
          <t>ACT</t>
        </is>
      </c>
      <c r="F19" s="24" t="inlineStr"/>
      <c r="G19" s="24" t="inlineStr"/>
      <c r="H19" s="25" t="n"/>
      <c r="I19" s="25" t="n"/>
      <c r="J19" s="25" t="n"/>
      <c r="K19" s="26" t="n"/>
      <c r="L19" s="25" t="n"/>
      <c r="M19" s="25" t="n"/>
      <c r="N19" s="26" t="n"/>
      <c r="O19" s="25" t="n"/>
      <c r="P19" s="25" t="n"/>
      <c r="Q19" s="25" t="n"/>
      <c r="R19" s="25" t="n"/>
      <c r="S19" s="25" t="n"/>
      <c r="T19" s="26" t="n"/>
      <c r="U19" s="25" t="n"/>
      <c r="V19" s="25" t="n"/>
      <c r="W19" s="27" t="n">
        <v>17</v>
      </c>
      <c r="X19" s="28" t="n"/>
      <c r="Y19" s="28" t="n"/>
      <c r="Z19" s="28" t="n"/>
      <c r="AA19" s="28" t="n">
        <v>0.0284</v>
      </c>
      <c r="AB19" s="29" t="n">
        <v>4.13</v>
      </c>
      <c r="AC19" s="28" t="n"/>
      <c r="AD19" s="28" t="n">
        <v>0.0065</v>
      </c>
      <c r="AE19" s="28" t="n">
        <v>0.75</v>
      </c>
      <c r="AF19" s="29" t="n">
        <v>7.13</v>
      </c>
      <c r="AG19" s="28" t="n"/>
      <c r="AH19" s="30">
        <f>IFERROR(X19*$F$4,0)</f>
        <v/>
      </c>
      <c r="AI19" s="30">
        <f>IFERROR(AH19*Y19,0)</f>
        <v/>
      </c>
      <c r="AJ19" s="30">
        <f>IFERROR(X19*SUM($AR$12:$AR$36),0)</f>
        <v/>
      </c>
      <c r="AK19" s="31">
        <f>IFERROR(X19*$E$7,0)</f>
        <v/>
      </c>
      <c r="AL19" s="31">
        <f>IFERROR(AH19*Z19,0)</f>
        <v/>
      </c>
      <c r="AM19" s="30">
        <f>IFERROR(AA19*$G$4,0)</f>
        <v/>
      </c>
      <c r="AN19" s="30">
        <f>IFERROR(AM19*AB19,0)</f>
        <v/>
      </c>
      <c r="AO19" s="31">
        <f>IFERROR(AC19*$D$7,0)</f>
        <v/>
      </c>
      <c r="AP19" s="30">
        <f>IFERROR(AD19*$H$4,0)</f>
        <v/>
      </c>
      <c r="AQ19" s="30">
        <f>IFERROR(AP19*AE19,0)</f>
        <v/>
      </c>
      <c r="AR19" s="30">
        <f>IFERROR(AQ19*AF19,0)</f>
        <v/>
      </c>
      <c r="AS19" s="31">
        <f>IFERROR(AG19*$E$7,0)</f>
        <v/>
      </c>
      <c r="AT19" s="31">
        <f>AN19*Settings!$B$10+AO19*Settings!$B$11+AR19*Settings!$B$7+AS19*Settings!$B$8+AJ19*Settings!$B$12+AK19*Settings!$B$13+AL19*Settings!$B$14</f>
        <v/>
      </c>
      <c r="AU19" s="32">
        <f>AN19*Settings!$B$10+AO19*Settings!$B$11+AR19*Settings!$B$7+AS19*Settings!$B$8+AJ19*Settings!$B$12+AK19*Settings!$B$13+AL19*Settings!$B$14+AQ19*Settings!$B$9</f>
        <v/>
      </c>
      <c r="AV19" s="31">
        <f>AN19*Settings!$B$10+AO19*Settings!$B$11+AR19*Settings!$B$7+AS19*Settings!$B$8+AJ19*Settings!$B$12+AK19*Settings!$B$13+AL19*Settings!$B$14+AQ19*Settings!$B$15</f>
        <v/>
      </c>
    </row>
    <row r="20">
      <c r="A20" s="20" t="inlineStr">
        <is>
          <t>RB</t>
        </is>
      </c>
      <c r="B20" s="40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30">
        <f>IFERROR(X20*$F$4,0)</f>
        <v/>
      </c>
      <c r="AI20" s="30">
        <f>IFERROR(AH20*Y20,0)</f>
        <v/>
      </c>
      <c r="AJ20" s="30">
        <f>IFERROR(X20*SUM($AR$12:$AR$36),0)</f>
        <v/>
      </c>
      <c r="AK20" s="31">
        <f>IFERROR(X20*$E$7,0)</f>
        <v/>
      </c>
      <c r="AL20" s="31">
        <f>IFERROR(AH20*Z20,0)</f>
        <v/>
      </c>
      <c r="AM20" s="30">
        <f>IFERROR(AA20*$G$4,0)</f>
        <v/>
      </c>
      <c r="AN20" s="30">
        <f>IFERROR(AM20*AB20,0)</f>
        <v/>
      </c>
      <c r="AO20" s="31">
        <f>IFERROR(AC20*$D$7,0)</f>
        <v/>
      </c>
      <c r="AP20" s="30">
        <f>IFERROR(AD20*$H$4,0)</f>
        <v/>
      </c>
      <c r="AQ20" s="30">
        <f>IFERROR(AP20*AE20,0)</f>
        <v/>
      </c>
      <c r="AR20" s="30">
        <f>IFERROR(AQ20*AF20,0)</f>
        <v/>
      </c>
      <c r="AS20" s="31">
        <f>IFERROR(AG20*$E$7,0)</f>
        <v/>
      </c>
      <c r="AT20" s="31">
        <f>AN20*Settings!$B$10+AO20*Settings!$B$11+AR20*Settings!$B$7+AS20*Settings!$B$8+AJ20*Settings!$B$12+AK20*Settings!$B$13+AL20*Settings!$B$14</f>
        <v/>
      </c>
      <c r="AU20" s="32">
        <f>AN20*Settings!$B$10+AO20*Settings!$B$11+AR20*Settings!$B$7+AS20*Settings!$B$8+AJ20*Settings!$B$12+AK20*Settings!$B$13+AL20*Settings!$B$14+AQ20*Settings!$B$9</f>
        <v/>
      </c>
      <c r="AV20" s="31">
        <f>AN20*Settings!$B$10+AO20*Settings!$B$11+AR20*Settings!$B$7+AS20*Settings!$B$8+AJ20*Settings!$B$12+AK20*Settings!$B$13+AL20*Settings!$B$14+AQ20*Settings!$B$15</f>
        <v/>
      </c>
    </row>
    <row r="21">
      <c r="A21" s="33" t="inlineStr">
        <is>
          <t>RB</t>
        </is>
      </c>
      <c r="B21" s="34" t="n"/>
      <c r="C21" s="34" t="n"/>
      <c r="D21" s="34" t="n"/>
      <c r="E21" s="34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0">
        <f>IFERROR(X21*$F$4,0)</f>
        <v/>
      </c>
      <c r="AI21" s="30">
        <f>IFERROR(AH21*Y21,0)</f>
        <v/>
      </c>
      <c r="AJ21" s="30">
        <f>IFERROR(X21*SUM($AR$12:$AR$36),0)</f>
        <v/>
      </c>
      <c r="AK21" s="31">
        <f>IFERROR(X21*$E$7,0)</f>
        <v/>
      </c>
      <c r="AL21" s="31">
        <f>IFERROR(AH21*Z21,0)</f>
        <v/>
      </c>
      <c r="AM21" s="30">
        <f>IFERROR(AA21*$G$4,0)</f>
        <v/>
      </c>
      <c r="AN21" s="30">
        <f>IFERROR(AM21*AB21,0)</f>
        <v/>
      </c>
      <c r="AO21" s="31">
        <f>IFERROR(AC21*$D$7,0)</f>
        <v/>
      </c>
      <c r="AP21" s="30">
        <f>IFERROR(AD21*$H$4,0)</f>
        <v/>
      </c>
      <c r="AQ21" s="30">
        <f>IFERROR(AP21*AE21,0)</f>
        <v/>
      </c>
      <c r="AR21" s="30">
        <f>IFERROR(AQ21*AF21,0)</f>
        <v/>
      </c>
      <c r="AS21" s="31">
        <f>IFERROR(AG21*$E$7,0)</f>
        <v/>
      </c>
      <c r="AT21" s="31">
        <f>AN21*Settings!$B$10+AO21*Settings!$B$11+AR21*Settings!$B$7+AS21*Settings!$B$8+AJ21*Settings!$B$12+AK21*Settings!$B$13+AL21*Settings!$B$14</f>
        <v/>
      </c>
      <c r="AU21" s="32">
        <f>AN21*Settings!$B$10+AO21*Settings!$B$11+AR21*Settings!$B$7+AS21*Settings!$B$8+AJ21*Settings!$B$12+AK21*Settings!$B$13+AL21*Settings!$B$14+AQ21*Settings!$B$9</f>
        <v/>
      </c>
      <c r="AV21" s="31">
        <f>AN21*Settings!$B$10+AO21*Settings!$B$11+AR21*Settings!$B$7+AS21*Settings!$B$8+AJ21*Settings!$B$12+AK21*Settings!$B$13+AL21*Settings!$B$14+AQ21*Settings!$B$15</f>
        <v/>
      </c>
    </row>
    <row r="22">
      <c r="A22" s="37" t="inlineStr">
        <is>
          <t>RB</t>
        </is>
      </c>
      <c r="B22" s="38" t="inlineStr">
        <is>
          <t>Other RBs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>
        <v>17</v>
      </c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0">
        <f>IFERROR(X22*$F$4,0)</f>
        <v/>
      </c>
      <c r="AI22" s="30">
        <f>IFERROR(AH22*Y22,0)</f>
        <v/>
      </c>
      <c r="AJ22" s="30">
        <f>IFERROR(X22*SUM($AR$12:$AR$36),0)</f>
        <v/>
      </c>
      <c r="AK22" s="31">
        <f>IFERROR(X22*$E$7,0)</f>
        <v/>
      </c>
      <c r="AL22" s="31">
        <f>IFERROR(AH22*Z22,0)</f>
        <v/>
      </c>
      <c r="AM22" s="30">
        <f>IFERROR(AA22*$G$4,0)</f>
        <v/>
      </c>
      <c r="AN22" s="30">
        <f>IFERROR(AM22*AB22,0)</f>
        <v/>
      </c>
      <c r="AO22" s="31">
        <f>IFERROR(AC22*$D$7,0)</f>
        <v/>
      </c>
      <c r="AP22" s="30">
        <f>IFERROR(AD22*$H$4,0)</f>
        <v/>
      </c>
      <c r="AQ22" s="30">
        <f>IFERROR(AP22*AE22,0)</f>
        <v/>
      </c>
      <c r="AR22" s="30">
        <f>IFERROR(AQ22*AF22,0)</f>
        <v/>
      </c>
      <c r="AS22" s="31">
        <f>IFERROR(AG22*$E$7,0)</f>
        <v/>
      </c>
      <c r="AT22" s="31">
        <f>AN22*Settings!$B$10+AO22*Settings!$B$11+AR22*Settings!$B$7+AS22*Settings!$B$8+AJ22*Settings!$B$12+AK22*Settings!$B$13+AL22*Settings!$B$14</f>
        <v/>
      </c>
      <c r="AU22" s="32">
        <f>AN22*Settings!$B$10+AO22*Settings!$B$11+AR22*Settings!$B$7+AS22*Settings!$B$8+AJ22*Settings!$B$12+AK22*Settings!$B$13+AL22*Settings!$B$14+AQ22*Settings!$B$9</f>
        <v/>
      </c>
      <c r="AV22" s="31">
        <f>AN22*Settings!$B$10+AO22*Settings!$B$11+AR22*Settings!$B$7+AS22*Settings!$B$8+AJ22*Settings!$B$12+AK22*Settings!$B$13+AL22*Settings!$B$14+AQ22*Settings!$B$15</f>
        <v/>
      </c>
    </row>
    <row r="23">
      <c r="A23" s="33" t="inlineStr">
        <is>
          <t>WR</t>
        </is>
      </c>
      <c r="B23" s="34" t="inlineStr">
        <is>
          <t>Terry McLaurin</t>
        </is>
      </c>
      <c r="C23" s="35" t="n">
        <v>1</v>
      </c>
      <c r="D23" s="35" t="inlineStr">
        <is>
          <t>30</t>
        </is>
      </c>
      <c r="E23" s="42" t="inlineStr">
        <is>
          <t>ACT</t>
        </is>
      </c>
      <c r="F23" s="24" t="inlineStr">
        <is>
          <t>WAS</t>
        </is>
      </c>
      <c r="G23" s="24" t="inlineStr">
        <is>
          <t>10</t>
        </is>
      </c>
      <c r="H23" s="25" t="n">
        <v>0.764</v>
      </c>
      <c r="I23" s="25" t="n"/>
      <c r="J23" s="25" t="n"/>
      <c r="K23" s="26" t="n"/>
      <c r="L23" s="25" t="n"/>
      <c r="M23" s="25" t="n"/>
      <c r="N23" s="26" t="n"/>
      <c r="O23" s="25" t="n"/>
      <c r="P23" s="25" t="n"/>
      <c r="Q23" s="25" t="n">
        <v>0.2321</v>
      </c>
      <c r="R23" s="25" t="n">
        <v>0.1389</v>
      </c>
      <c r="S23" s="25" t="n">
        <v>0.65</v>
      </c>
      <c r="T23" s="26" t="n">
        <v>13.92</v>
      </c>
      <c r="U23" s="25" t="n">
        <v>0.1628</v>
      </c>
      <c r="V23" s="25" t="n">
        <v>0.1579</v>
      </c>
      <c r="W23" s="27" t="n">
        <v>17</v>
      </c>
      <c r="X23" s="28" t="n"/>
      <c r="Y23" s="28" t="n"/>
      <c r="Z23" s="28" t="n"/>
      <c r="AA23" s="28" t="n">
        <v>0.009599999999999999</v>
      </c>
      <c r="AB23" s="29" t="n"/>
      <c r="AC23" s="28" t="n"/>
      <c r="AD23" s="28" t="n">
        <v>0.201</v>
      </c>
      <c r="AE23" s="28" t="n">
        <v>0.6501</v>
      </c>
      <c r="AF23" s="29" t="n">
        <v>13.47</v>
      </c>
      <c r="AG23" s="28" t="n">
        <v>0.1965</v>
      </c>
      <c r="AH23" s="30">
        <f>IFERROR(X23*$F$4,0)</f>
        <v/>
      </c>
      <c r="AI23" s="30">
        <f>IFERROR(AH23*Y23,0)</f>
        <v/>
      </c>
      <c r="AJ23" s="30">
        <f>IFERROR(X23*SUM($AR$12:$AR$36),0)</f>
        <v/>
      </c>
      <c r="AK23" s="31">
        <f>IFERROR(X23*$E$7,0)</f>
        <v/>
      </c>
      <c r="AL23" s="31">
        <f>IFERROR(AH23*Z23,0)</f>
        <v/>
      </c>
      <c r="AM23" s="30">
        <f>IFERROR(AA23*$G$4,0)</f>
        <v/>
      </c>
      <c r="AN23" s="30">
        <f>IFERROR(AM23*AB23,0)</f>
        <v/>
      </c>
      <c r="AO23" s="31">
        <f>IFERROR(AC23*$D$7,0)</f>
        <v/>
      </c>
      <c r="AP23" s="30">
        <f>IFERROR(AD23*$H$4,0)</f>
        <v/>
      </c>
      <c r="AQ23" s="30">
        <f>IFERROR(AP23*AE23,0)</f>
        <v/>
      </c>
      <c r="AR23" s="30">
        <f>IFERROR(AQ23*AF23,0)</f>
        <v/>
      </c>
      <c r="AS23" s="31">
        <f>IFERROR(AG23*$E$7,0)</f>
        <v/>
      </c>
      <c r="AT23" s="31">
        <f>AN23*Settings!$B$10+AO23*Settings!$B$11+AR23*Settings!$B$7+AS23*Settings!$B$8+AJ23*Settings!$B$12+AK23*Settings!$B$13+AL23*Settings!$B$14</f>
        <v/>
      </c>
      <c r="AU23" s="32">
        <f>AN23*Settings!$B$10+AO23*Settings!$B$11+AR23*Settings!$B$7+AS23*Settings!$B$8+AJ23*Settings!$B$12+AK23*Settings!$B$13+AL23*Settings!$B$14+AQ23*Settings!$B$9</f>
        <v/>
      </c>
      <c r="AV23" s="31">
        <f>AN23*Settings!$B$10+AO23*Settings!$B$11+AR23*Settings!$B$7+AS23*Settings!$B$8+AJ23*Settings!$B$12+AK23*Settings!$B$13+AL23*Settings!$B$14+AQ23*Settings!$B$15</f>
        <v/>
      </c>
    </row>
    <row r="24">
      <c r="A24" s="20" t="inlineStr">
        <is>
          <t>WR</t>
        </is>
      </c>
      <c r="B24" s="21" t="inlineStr">
        <is>
          <t>Stefon Diggs</t>
        </is>
      </c>
      <c r="C24" s="22" t="n">
        <v>2</v>
      </c>
      <c r="D24" s="22" t="inlineStr">
        <is>
          <t>32</t>
        </is>
      </c>
      <c r="E24" s="23" t="inlineStr">
        <is>
          <t>ACT</t>
        </is>
      </c>
      <c r="F24" s="24" t="inlineStr">
        <is>
          <t>NE</t>
        </is>
      </c>
      <c r="G24" s="24" t="inlineStr">
        <is>
          <t>17</t>
        </is>
      </c>
      <c r="H24" s="25" t="n">
        <v>0.667</v>
      </c>
      <c r="I24" s="25" t="n"/>
      <c r="J24" s="25" t="n"/>
      <c r="K24" s="26" t="n"/>
      <c r="L24" s="25" t="n"/>
      <c r="M24" s="25" t="n"/>
      <c r="N24" s="26" t="n"/>
      <c r="O24" s="25" t="n"/>
      <c r="P24" s="25" t="n"/>
      <c r="Q24" s="25" t="n">
        <v>0.117</v>
      </c>
      <c r="R24" s="25" t="n">
        <v>0.2116</v>
      </c>
      <c r="S24" s="25" t="n">
        <v>0.778</v>
      </c>
      <c r="T24" s="26" t="n">
        <v>11.48</v>
      </c>
      <c r="U24" s="25" t="n">
        <v>0.1846</v>
      </c>
      <c r="V24" s="25" t="n">
        <v>0.129</v>
      </c>
      <c r="W24" s="27" t="n">
        <v>17</v>
      </c>
      <c r="X24" s="28" t="n"/>
      <c r="Y24" s="28" t="n"/>
      <c r="Z24" s="28" t="n"/>
      <c r="AA24" s="28" t="n">
        <v>0.0047</v>
      </c>
      <c r="AB24" s="29" t="n">
        <v>3.25</v>
      </c>
      <c r="AC24" s="28" t="n">
        <v>0.0451</v>
      </c>
      <c r="AD24" s="28" t="n">
        <v>0.1371</v>
      </c>
      <c r="AE24" s="28" t="n">
        <v>0.7776</v>
      </c>
      <c r="AF24" s="29" t="n">
        <v>11.26</v>
      </c>
      <c r="AG24" s="28" t="n">
        <v>0.122</v>
      </c>
      <c r="AH24" s="30">
        <f>IFERROR(X24*$F$4,0)</f>
        <v/>
      </c>
      <c r="AI24" s="30">
        <f>IFERROR(AH24*Y24,0)</f>
        <v/>
      </c>
      <c r="AJ24" s="30">
        <f>IFERROR(X24*SUM($AR$12:$AR$36),0)</f>
        <v/>
      </c>
      <c r="AK24" s="31">
        <f>IFERROR(X24*$E$7,0)</f>
        <v/>
      </c>
      <c r="AL24" s="31">
        <f>IFERROR(AH24*Z24,0)</f>
        <v/>
      </c>
      <c r="AM24" s="30">
        <f>IFERROR(AA24*$G$4,0)</f>
        <v/>
      </c>
      <c r="AN24" s="30">
        <f>IFERROR(AM24*AB24,0)</f>
        <v/>
      </c>
      <c r="AO24" s="31">
        <f>IFERROR(AC24*$D$7,0)</f>
        <v/>
      </c>
      <c r="AP24" s="30">
        <f>IFERROR(AD24*$H$4,0)</f>
        <v/>
      </c>
      <c r="AQ24" s="30">
        <f>IFERROR(AP24*AE24,0)</f>
        <v/>
      </c>
      <c r="AR24" s="30">
        <f>IFERROR(AQ24*AF24,0)</f>
        <v/>
      </c>
      <c r="AS24" s="31">
        <f>IFERROR(AG24*$E$7,0)</f>
        <v/>
      </c>
      <c r="AT24" s="31">
        <f>AN24*Settings!$B$10+AO24*Settings!$B$11+AR24*Settings!$B$7+AS24*Settings!$B$8+AJ24*Settings!$B$12+AK24*Settings!$B$13+AL24*Settings!$B$14</f>
        <v/>
      </c>
      <c r="AU24" s="32">
        <f>AN24*Settings!$B$10+AO24*Settings!$B$11+AR24*Settings!$B$7+AS24*Settings!$B$8+AJ24*Settings!$B$12+AK24*Settings!$B$13+AL24*Settings!$B$14+AQ24*Settings!$B$9</f>
        <v/>
      </c>
      <c r="AV24" s="31">
        <f>AN24*Settings!$B$10+AO24*Settings!$B$11+AR24*Settings!$B$7+AS24*Settings!$B$8+AJ24*Settings!$B$12+AK24*Settings!$B$13+AL24*Settings!$B$14+AQ24*Settings!$B$15</f>
        <v/>
      </c>
    </row>
    <row r="25">
      <c r="A25" s="33" t="inlineStr">
        <is>
          <t>WR</t>
        </is>
      </c>
      <c r="B25" s="34" t="inlineStr">
        <is>
          <t>Antonio Williams</t>
        </is>
      </c>
      <c r="C25" s="35" t="n">
        <v>3</v>
      </c>
      <c r="D25" s="35" t="inlineStr">
        <is>
          <t>22</t>
        </is>
      </c>
      <c r="E25" s="42" t="inlineStr">
        <is>
          <t>ACT</t>
        </is>
      </c>
      <c r="F25" s="24" t="inlineStr"/>
      <c r="G25" s="24" t="inlineStr"/>
      <c r="H25" s="25" t="n"/>
      <c r="I25" s="25" t="n"/>
      <c r="J25" s="25" t="n"/>
      <c r="K25" s="26" t="n"/>
      <c r="L25" s="25" t="n"/>
      <c r="M25" s="25" t="n"/>
      <c r="N25" s="26" t="n"/>
      <c r="O25" s="25" t="n"/>
      <c r="P25" s="25" t="n"/>
      <c r="Q25" s="25" t="n"/>
      <c r="R25" s="25" t="n"/>
      <c r="S25" s="25" t="n"/>
      <c r="T25" s="26" t="n"/>
      <c r="U25" s="25" t="n"/>
      <c r="V25" s="25" t="n"/>
      <c r="W25" s="27" t="n">
        <v>17</v>
      </c>
      <c r="X25" s="28" t="n"/>
      <c r="Y25" s="28" t="n"/>
      <c r="Z25" s="28" t="n"/>
      <c r="AA25" s="28" t="n">
        <v>0.0029</v>
      </c>
      <c r="AB25" s="29" t="n"/>
      <c r="AC25" s="28" t="n"/>
      <c r="AD25" s="28" t="n">
        <v>0.0978</v>
      </c>
      <c r="AE25" s="28" t="n">
        <v>0.65</v>
      </c>
      <c r="AF25" s="29" t="n">
        <v>12.84</v>
      </c>
      <c r="AG25" s="28" t="n"/>
      <c r="AH25" s="30">
        <f>IFERROR(X25*$F$4,0)</f>
        <v/>
      </c>
      <c r="AI25" s="30">
        <f>IFERROR(AH25*Y25,0)</f>
        <v/>
      </c>
      <c r="AJ25" s="30">
        <f>IFERROR(X25*SUM($AR$12:$AR$36),0)</f>
        <v/>
      </c>
      <c r="AK25" s="31">
        <f>IFERROR(X25*$E$7,0)</f>
        <v/>
      </c>
      <c r="AL25" s="31">
        <f>IFERROR(AH25*Z25,0)</f>
        <v/>
      </c>
      <c r="AM25" s="30">
        <f>IFERROR(AA25*$G$4,0)</f>
        <v/>
      </c>
      <c r="AN25" s="30">
        <f>IFERROR(AM25*AB25,0)</f>
        <v/>
      </c>
      <c r="AO25" s="31">
        <f>IFERROR(AC25*$D$7,0)</f>
        <v/>
      </c>
      <c r="AP25" s="30">
        <f>IFERROR(AD25*$H$4,0)</f>
        <v/>
      </c>
      <c r="AQ25" s="30">
        <f>IFERROR(AP25*AE25,0)</f>
        <v/>
      </c>
      <c r="AR25" s="30">
        <f>IFERROR(AQ25*AF25,0)</f>
        <v/>
      </c>
      <c r="AS25" s="31">
        <f>IFERROR(AG25*$E$7,0)</f>
        <v/>
      </c>
      <c r="AT25" s="31">
        <f>AN25*Settings!$B$10+AO25*Settings!$B$11+AR25*Settings!$B$7+AS25*Settings!$B$8+AJ25*Settings!$B$12+AK25*Settings!$B$13+AL25*Settings!$B$14</f>
        <v/>
      </c>
      <c r="AU25" s="32">
        <f>AN25*Settings!$B$10+AO25*Settings!$B$11+AR25*Settings!$B$7+AS25*Settings!$B$8+AJ25*Settings!$B$12+AK25*Settings!$B$13+AL25*Settings!$B$14+AQ25*Settings!$B$9</f>
        <v/>
      </c>
      <c r="AV25" s="31">
        <f>AN25*Settings!$B$10+AO25*Settings!$B$11+AR25*Settings!$B$7+AS25*Settings!$B$8+AJ25*Settings!$B$12+AK25*Settings!$B$13+AL25*Settings!$B$14+AQ25*Settings!$B$15</f>
        <v/>
      </c>
    </row>
    <row r="26">
      <c r="A26" s="20" t="inlineStr">
        <is>
          <t>WR</t>
        </is>
      </c>
      <c r="B26" s="21" t="inlineStr">
        <is>
          <t>Luke McCaffrey</t>
        </is>
      </c>
      <c r="C26" s="22" t="n">
        <v>4</v>
      </c>
      <c r="D26" s="22" t="inlineStr">
        <is>
          <t>25</t>
        </is>
      </c>
      <c r="E26" s="23" t="inlineStr">
        <is>
          <t>ACT</t>
        </is>
      </c>
      <c r="F26" s="24" t="inlineStr">
        <is>
          <t>WAS</t>
        </is>
      </c>
      <c r="G26" s="24" t="inlineStr">
        <is>
          <t>9</t>
        </is>
      </c>
      <c r="H26" s="25" t="n">
        <v>0.36</v>
      </c>
      <c r="I26" s="25" t="n"/>
      <c r="J26" s="25" t="n"/>
      <c r="K26" s="26" t="n"/>
      <c r="L26" s="25" t="n"/>
      <c r="M26" s="25" t="n"/>
      <c r="N26" s="26" t="n"/>
      <c r="O26" s="25" t="n"/>
      <c r="P26" s="25" t="n"/>
      <c r="Q26" s="25" t="n">
        <v>0.0476</v>
      </c>
      <c r="R26" s="25" t="n">
        <v>0.0347</v>
      </c>
      <c r="S26" s="25" t="n">
        <v>0.742</v>
      </c>
      <c r="T26" s="26" t="n">
        <v>9.33</v>
      </c>
      <c r="U26" s="25" t="n">
        <v>0.0465</v>
      </c>
      <c r="V26" s="25" t="n">
        <v>0.1579</v>
      </c>
      <c r="W26" s="27" t="n">
        <v>17</v>
      </c>
      <c r="X26" s="28" t="n"/>
      <c r="Y26" s="28" t="n"/>
      <c r="Z26" s="28" t="n"/>
      <c r="AA26" s="28" t="n">
        <v>0.0009</v>
      </c>
      <c r="AB26" s="29" t="n"/>
      <c r="AC26" s="28" t="n"/>
      <c r="AD26" s="28" t="n">
        <v>0.0279</v>
      </c>
      <c r="AE26" s="28" t="n">
        <v>0.7422</v>
      </c>
      <c r="AF26" s="29" t="n">
        <v>12.79</v>
      </c>
      <c r="AG26" s="28" t="n">
        <v>0.115</v>
      </c>
      <c r="AH26" s="30">
        <f>IFERROR(X26*$F$4,0)</f>
        <v/>
      </c>
      <c r="AI26" s="30">
        <f>IFERROR(AH26*Y26,0)</f>
        <v/>
      </c>
      <c r="AJ26" s="30">
        <f>IFERROR(X26*SUM($AR$12:$AR$36),0)</f>
        <v/>
      </c>
      <c r="AK26" s="31">
        <f>IFERROR(X26*$E$7,0)</f>
        <v/>
      </c>
      <c r="AL26" s="31">
        <f>IFERROR(AH26*Z26,0)</f>
        <v/>
      </c>
      <c r="AM26" s="30">
        <f>IFERROR(AA26*$G$4,0)</f>
        <v/>
      </c>
      <c r="AN26" s="30">
        <f>IFERROR(AM26*AB26,0)</f>
        <v/>
      </c>
      <c r="AO26" s="31">
        <f>IFERROR(AC26*$D$7,0)</f>
        <v/>
      </c>
      <c r="AP26" s="30">
        <f>IFERROR(AD26*$H$4,0)</f>
        <v/>
      </c>
      <c r="AQ26" s="30">
        <f>IFERROR(AP26*AE26,0)</f>
        <v/>
      </c>
      <c r="AR26" s="30">
        <f>IFERROR(AQ26*AF26,0)</f>
        <v/>
      </c>
      <c r="AS26" s="31">
        <f>IFERROR(AG26*$E$7,0)</f>
        <v/>
      </c>
      <c r="AT26" s="31">
        <f>AN26*Settings!$B$10+AO26*Settings!$B$11+AR26*Settings!$B$7+AS26*Settings!$B$8+AJ26*Settings!$B$12+AK26*Settings!$B$13+AL26*Settings!$B$14</f>
        <v/>
      </c>
      <c r="AU26" s="32">
        <f>AN26*Settings!$B$10+AO26*Settings!$B$11+AR26*Settings!$B$7+AS26*Settings!$B$8+AJ26*Settings!$B$12+AK26*Settings!$B$13+AL26*Settings!$B$14+AQ26*Settings!$B$9</f>
        <v/>
      </c>
      <c r="AV26" s="31">
        <f>AN26*Settings!$B$10+AO26*Settings!$B$11+AR26*Settings!$B$7+AS26*Settings!$B$8+AJ26*Settings!$B$12+AK26*Settings!$B$13+AL26*Settings!$B$14+AQ26*Settings!$B$15</f>
        <v/>
      </c>
    </row>
    <row r="27">
      <c r="A27" s="33" t="inlineStr">
        <is>
          <t>WR</t>
        </is>
      </c>
      <c r="B27" s="34" t="inlineStr">
        <is>
          <t>Dyami Brown</t>
        </is>
      </c>
      <c r="C27" s="35" t="n">
        <v>5</v>
      </c>
      <c r="D27" s="35" t="inlineStr">
        <is>
          <t>26</t>
        </is>
      </c>
      <c r="E27" s="42" t="inlineStr">
        <is>
          <t>ACT</t>
        </is>
      </c>
      <c r="F27" s="24" t="inlineStr">
        <is>
          <t>JAC</t>
        </is>
      </c>
      <c r="G27" s="24" t="inlineStr">
        <is>
          <t>14</t>
        </is>
      </c>
      <c r="H27" s="25" t="n">
        <v>0.356</v>
      </c>
      <c r="I27" s="25" t="n"/>
      <c r="J27" s="25" t="n"/>
      <c r="K27" s="26" t="n"/>
      <c r="L27" s="25" t="n"/>
      <c r="M27" s="25" t="n">
        <v>0.0128</v>
      </c>
      <c r="N27" s="26" t="n"/>
      <c r="O27" s="25" t="n">
        <v>0.0091</v>
      </c>
      <c r="P27" s="25" t="n"/>
      <c r="Q27" s="25" t="n">
        <v>0.0794</v>
      </c>
      <c r="R27" s="25" t="n">
        <v>0.06759999999999999</v>
      </c>
      <c r="S27" s="25" t="n">
        <v>0.602</v>
      </c>
      <c r="T27" s="26" t="n">
        <v>11.6</v>
      </c>
      <c r="U27" s="25" t="n">
        <v>0.1154</v>
      </c>
      <c r="V27" s="25" t="n">
        <v>0.0345</v>
      </c>
      <c r="W27" s="27" t="n">
        <v>17</v>
      </c>
      <c r="X27" s="28" t="n"/>
      <c r="Y27" s="28" t="n"/>
      <c r="Z27" s="28" t="n"/>
      <c r="AA27" s="28" t="n">
        <v>0.0023</v>
      </c>
      <c r="AB27" s="29" t="n">
        <v>5.6</v>
      </c>
      <c r="AC27" s="28" t="n"/>
      <c r="AD27" s="28" t="n">
        <v>0.0512</v>
      </c>
      <c r="AE27" s="28" t="n">
        <v>0.6025</v>
      </c>
      <c r="AF27" s="29" t="n">
        <v>11.34</v>
      </c>
      <c r="AG27" s="28" t="n">
        <v>0.0263</v>
      </c>
      <c r="AH27" s="30">
        <f>IFERROR(X27*$F$4,0)</f>
        <v/>
      </c>
      <c r="AI27" s="30">
        <f>IFERROR(AH27*Y27,0)</f>
        <v/>
      </c>
      <c r="AJ27" s="30">
        <f>IFERROR(X27*SUM($AR$12:$AR$36),0)</f>
        <v/>
      </c>
      <c r="AK27" s="31">
        <f>IFERROR(X27*$E$7,0)</f>
        <v/>
      </c>
      <c r="AL27" s="31">
        <f>IFERROR(AH27*Z27,0)</f>
        <v/>
      </c>
      <c r="AM27" s="30">
        <f>IFERROR(AA27*$G$4,0)</f>
        <v/>
      </c>
      <c r="AN27" s="30">
        <f>IFERROR(AM27*AB27,0)</f>
        <v/>
      </c>
      <c r="AO27" s="31">
        <f>IFERROR(AC27*$D$7,0)</f>
        <v/>
      </c>
      <c r="AP27" s="30">
        <f>IFERROR(AD27*$H$4,0)</f>
        <v/>
      </c>
      <c r="AQ27" s="30">
        <f>IFERROR(AP27*AE27,0)</f>
        <v/>
      </c>
      <c r="AR27" s="30">
        <f>IFERROR(AQ27*AF27,0)</f>
        <v/>
      </c>
      <c r="AS27" s="31">
        <f>IFERROR(AG27*$E$7,0)</f>
        <v/>
      </c>
      <c r="AT27" s="31">
        <f>AN27*Settings!$B$10+AO27*Settings!$B$11+AR27*Settings!$B$7+AS27*Settings!$B$8+AJ27*Settings!$B$12+AK27*Settings!$B$13+AL27*Settings!$B$14</f>
        <v/>
      </c>
      <c r="AU27" s="32">
        <f>AN27*Settings!$B$10+AO27*Settings!$B$11+AR27*Settings!$B$7+AS27*Settings!$B$8+AJ27*Settings!$B$12+AK27*Settings!$B$13+AL27*Settings!$B$14+AQ27*Settings!$B$9</f>
        <v/>
      </c>
      <c r="AV27" s="31">
        <f>AN27*Settings!$B$10+AO27*Settings!$B$11+AR27*Settings!$B$7+AS27*Settings!$B$8+AJ27*Settings!$B$12+AK27*Settings!$B$13+AL27*Settings!$B$14+AQ27*Settings!$B$15</f>
        <v/>
      </c>
    </row>
    <row r="28">
      <c r="A28" s="20" t="inlineStr">
        <is>
          <t>WR</t>
        </is>
      </c>
      <c r="B28" s="21" t="inlineStr">
        <is>
          <t>Treylon Burks</t>
        </is>
      </c>
      <c r="C28" s="22" t="n">
        <v>6</v>
      </c>
      <c r="D28" s="22" t="inlineStr">
        <is>
          <t>26</t>
        </is>
      </c>
      <c r="E28" s="23" t="inlineStr">
        <is>
          <t>ACT</t>
        </is>
      </c>
      <c r="F28" s="24" t="inlineStr">
        <is>
          <t>WAS</t>
        </is>
      </c>
      <c r="G28" s="24" t="inlineStr">
        <is>
          <t>8</t>
        </is>
      </c>
      <c r="H28" s="25" t="n">
        <v>0.572</v>
      </c>
      <c r="I28" s="25" t="n"/>
      <c r="J28" s="25" t="n"/>
      <c r="K28" s="26" t="n"/>
      <c r="L28" s="25" t="n"/>
      <c r="M28" s="25" t="n"/>
      <c r="N28" s="26" t="n"/>
      <c r="O28" s="25" t="n"/>
      <c r="P28" s="25" t="n"/>
      <c r="Q28" s="25" t="n">
        <v>0.0158</v>
      </c>
      <c r="R28" s="25" t="n">
        <v>0.0509</v>
      </c>
      <c r="S28" s="25" t="n">
        <v>0.483</v>
      </c>
      <c r="T28" s="26" t="n">
        <v>13.81</v>
      </c>
      <c r="U28" s="25" t="n">
        <v>0.093</v>
      </c>
      <c r="V28" s="25" t="n">
        <v>0.0526</v>
      </c>
      <c r="W28" s="27" t="n">
        <v>17</v>
      </c>
      <c r="X28" s="28" t="n"/>
      <c r="Y28" s="28" t="n"/>
      <c r="Z28" s="28" t="n"/>
      <c r="AA28" s="28" t="n">
        <v>0.0059</v>
      </c>
      <c r="AB28" s="29" t="n">
        <v>2.71</v>
      </c>
      <c r="AC28" s="28" t="n"/>
      <c r="AD28" s="28" t="n">
        <v>0.0327</v>
      </c>
      <c r="AE28" s="28" t="n">
        <v>0.4859</v>
      </c>
      <c r="AF28" s="29" t="n">
        <v>12.83</v>
      </c>
      <c r="AG28" s="28" t="n">
        <v>0.0383</v>
      </c>
      <c r="AH28" s="30">
        <f>IFERROR(X28*$F$4,0)</f>
        <v/>
      </c>
      <c r="AI28" s="30">
        <f>IFERROR(AH28*Y28,0)</f>
        <v/>
      </c>
      <c r="AJ28" s="30">
        <f>IFERROR(X28*SUM($AR$12:$AR$36),0)</f>
        <v/>
      </c>
      <c r="AK28" s="31">
        <f>IFERROR(X28*$E$7,0)</f>
        <v/>
      </c>
      <c r="AL28" s="31">
        <f>IFERROR(AH28*Z28,0)</f>
        <v/>
      </c>
      <c r="AM28" s="30">
        <f>IFERROR(AA28*$G$4,0)</f>
        <v/>
      </c>
      <c r="AN28" s="30">
        <f>IFERROR(AM28*AB28,0)</f>
        <v/>
      </c>
      <c r="AO28" s="31">
        <f>IFERROR(AC28*$D$7,0)</f>
        <v/>
      </c>
      <c r="AP28" s="30">
        <f>IFERROR(AD28*$H$4,0)</f>
        <v/>
      </c>
      <c r="AQ28" s="30">
        <f>IFERROR(AP28*AE28,0)</f>
        <v/>
      </c>
      <c r="AR28" s="30">
        <f>IFERROR(AQ28*AF28,0)</f>
        <v/>
      </c>
      <c r="AS28" s="31">
        <f>IFERROR(AG28*$E$7,0)</f>
        <v/>
      </c>
      <c r="AT28" s="31">
        <f>AN28*Settings!$B$10+AO28*Settings!$B$11+AR28*Settings!$B$7+AS28*Settings!$B$8+AJ28*Settings!$B$12+AK28*Settings!$B$13+AL28*Settings!$B$14</f>
        <v/>
      </c>
      <c r="AU28" s="32">
        <f>AN28*Settings!$B$10+AO28*Settings!$B$11+AR28*Settings!$B$7+AS28*Settings!$B$8+AJ28*Settings!$B$12+AK28*Settings!$B$13+AL28*Settings!$B$14+AQ28*Settings!$B$9</f>
        <v/>
      </c>
      <c r="AV28" s="31">
        <f>AN28*Settings!$B$10+AO28*Settings!$B$11+AR28*Settings!$B$7+AS28*Settings!$B$8+AJ28*Settings!$B$12+AK28*Settings!$B$13+AL28*Settings!$B$14+AQ28*Settings!$B$15</f>
        <v/>
      </c>
    </row>
    <row r="29">
      <c r="A29" s="33" t="inlineStr">
        <is>
          <t>WR</t>
        </is>
      </c>
      <c r="B29" s="34" t="inlineStr">
        <is>
          <t>Jaylin Lane</t>
        </is>
      </c>
      <c r="C29" s="35" t="n">
        <v>7</v>
      </c>
      <c r="D29" s="35" t="inlineStr">
        <is>
          <t>24</t>
        </is>
      </c>
      <c r="E29" s="42" t="inlineStr">
        <is>
          <t>ACT</t>
        </is>
      </c>
      <c r="F29" s="24" t="inlineStr">
        <is>
          <t>WAS</t>
        </is>
      </c>
      <c r="G29" s="24" t="inlineStr">
        <is>
          <t>15</t>
        </is>
      </c>
      <c r="H29" s="25" t="n">
        <v>0.362</v>
      </c>
      <c r="I29" s="25" t="n"/>
      <c r="J29" s="25" t="n"/>
      <c r="K29" s="26" t="n"/>
      <c r="L29" s="25" t="n"/>
      <c r="M29" s="25" t="n">
        <v>0.0021</v>
      </c>
      <c r="N29" s="26" t="n"/>
      <c r="O29" s="25" t="n"/>
      <c r="P29" s="25" t="n"/>
      <c r="Q29" s="25" t="n"/>
      <c r="R29" s="25" t="n">
        <v>0.0741</v>
      </c>
      <c r="S29" s="25" t="n">
        <v>0.5</v>
      </c>
      <c r="T29" s="26" t="n">
        <v>14.06</v>
      </c>
      <c r="U29" s="25" t="n">
        <v>0.0465</v>
      </c>
      <c r="V29" s="25" t="n"/>
      <c r="W29" s="27" t="n">
        <v>17</v>
      </c>
      <c r="X29" s="28" t="n"/>
      <c r="Y29" s="28" t="n"/>
      <c r="Z29" s="28" t="n"/>
      <c r="AA29" s="28" t="n">
        <v>0.002</v>
      </c>
      <c r="AB29" s="29" t="n">
        <v>7</v>
      </c>
      <c r="AC29" s="28" t="n"/>
      <c r="AD29" s="28" t="n">
        <v>0.0516</v>
      </c>
      <c r="AE29" s="28" t="n">
        <v>0.5</v>
      </c>
      <c r="AF29" s="29" t="n">
        <v>14.06</v>
      </c>
      <c r="AG29" s="28" t="n"/>
      <c r="AH29" s="30">
        <f>IFERROR(X29*$F$4,0)</f>
        <v/>
      </c>
      <c r="AI29" s="30">
        <f>IFERROR(AH29*Y29,0)</f>
        <v/>
      </c>
      <c r="AJ29" s="30">
        <f>IFERROR(X29*SUM($AR$12:$AR$36),0)</f>
        <v/>
      </c>
      <c r="AK29" s="31">
        <f>IFERROR(X29*$E$7,0)</f>
        <v/>
      </c>
      <c r="AL29" s="31">
        <f>IFERROR(AH29*Z29,0)</f>
        <v/>
      </c>
      <c r="AM29" s="30">
        <f>IFERROR(AA29*$G$4,0)</f>
        <v/>
      </c>
      <c r="AN29" s="30">
        <f>IFERROR(AM29*AB29,0)</f>
        <v/>
      </c>
      <c r="AO29" s="31">
        <f>IFERROR(AC29*$D$7,0)</f>
        <v/>
      </c>
      <c r="AP29" s="30">
        <f>IFERROR(AD29*$H$4,0)</f>
        <v/>
      </c>
      <c r="AQ29" s="30">
        <f>IFERROR(AP29*AE29,0)</f>
        <v/>
      </c>
      <c r="AR29" s="30">
        <f>IFERROR(AQ29*AF29,0)</f>
        <v/>
      </c>
      <c r="AS29" s="31">
        <f>IFERROR(AG29*$E$7,0)</f>
        <v/>
      </c>
      <c r="AT29" s="31">
        <f>AN29*Settings!$B$10+AO29*Settings!$B$11+AR29*Settings!$B$7+AS29*Settings!$B$8+AJ29*Settings!$B$12+AK29*Settings!$B$13+AL29*Settings!$B$14</f>
        <v/>
      </c>
      <c r="AU29" s="32">
        <f>AN29*Settings!$B$10+AO29*Settings!$B$11+AR29*Settings!$B$7+AS29*Settings!$B$8+AJ29*Settings!$B$12+AK29*Settings!$B$13+AL29*Settings!$B$14+AQ29*Settings!$B$9</f>
        <v/>
      </c>
      <c r="AV29" s="31">
        <f>AN29*Settings!$B$10+AO29*Settings!$B$11+AR29*Settings!$B$7+AS29*Settings!$B$8+AJ29*Settings!$B$12+AK29*Settings!$B$13+AL29*Settings!$B$14+AQ29*Settings!$B$15</f>
        <v/>
      </c>
    </row>
    <row r="30">
      <c r="A30" s="20" t="inlineStr">
        <is>
          <t>WR</t>
        </is>
      </c>
      <c r="B30" s="40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30">
        <f>IFERROR(X30*$F$4,0)</f>
        <v/>
      </c>
      <c r="AI30" s="30">
        <f>IFERROR(AH30*Y30,0)</f>
        <v/>
      </c>
      <c r="AJ30" s="30">
        <f>IFERROR(X30*SUM($AR$12:$AR$36),0)</f>
        <v/>
      </c>
      <c r="AK30" s="31">
        <f>IFERROR(X30*$E$7,0)</f>
        <v/>
      </c>
      <c r="AL30" s="31">
        <f>IFERROR(AH30*Z30,0)</f>
        <v/>
      </c>
      <c r="AM30" s="30">
        <f>IFERROR(AA30*$G$4,0)</f>
        <v/>
      </c>
      <c r="AN30" s="30">
        <f>IFERROR(AM30*AB30,0)</f>
        <v/>
      </c>
      <c r="AO30" s="31">
        <f>IFERROR(AC30*$D$7,0)</f>
        <v/>
      </c>
      <c r="AP30" s="30">
        <f>IFERROR(AD30*$H$4,0)</f>
        <v/>
      </c>
      <c r="AQ30" s="30">
        <f>IFERROR(AP30*AE30,0)</f>
        <v/>
      </c>
      <c r="AR30" s="30">
        <f>IFERROR(AQ30*AF30,0)</f>
        <v/>
      </c>
      <c r="AS30" s="31">
        <f>IFERROR(AG30*$E$7,0)</f>
        <v/>
      </c>
      <c r="AT30" s="31">
        <f>AN30*Settings!$B$10+AO30*Settings!$B$11+AR30*Settings!$B$7+AS30*Settings!$B$8+AJ30*Settings!$B$12+AK30*Settings!$B$13+AL30*Settings!$B$14</f>
        <v/>
      </c>
      <c r="AU30" s="32">
        <f>AN30*Settings!$B$10+AO30*Settings!$B$11+AR30*Settings!$B$7+AS30*Settings!$B$8+AJ30*Settings!$B$12+AK30*Settings!$B$13+AL30*Settings!$B$14+AQ30*Settings!$B$9</f>
        <v/>
      </c>
      <c r="AV30" s="31">
        <f>AN30*Settings!$B$10+AO30*Settings!$B$11+AR30*Settings!$B$7+AS30*Settings!$B$8+AJ30*Settings!$B$12+AK30*Settings!$B$13+AL30*Settings!$B$14+AQ30*Settings!$B$15</f>
        <v/>
      </c>
    </row>
    <row r="31">
      <c r="A31" s="37" t="inlineStr">
        <is>
          <t>WR</t>
        </is>
      </c>
      <c r="B31" s="38" t="inlineStr">
        <is>
          <t>Other WRs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40" t="n">
        <v>17</v>
      </c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30">
        <f>IFERROR(X31*$F$4,0)</f>
        <v/>
      </c>
      <c r="AI31" s="30">
        <f>IFERROR(AH31*Y31,0)</f>
        <v/>
      </c>
      <c r="AJ31" s="30">
        <f>IFERROR(X31*SUM($AR$12:$AR$36),0)</f>
        <v/>
      </c>
      <c r="AK31" s="31">
        <f>IFERROR(X31*$E$7,0)</f>
        <v/>
      </c>
      <c r="AL31" s="31">
        <f>IFERROR(AH31*Z31,0)</f>
        <v/>
      </c>
      <c r="AM31" s="30">
        <f>IFERROR(AA31*$G$4,0)</f>
        <v/>
      </c>
      <c r="AN31" s="30">
        <f>IFERROR(AM31*AB31,0)</f>
        <v/>
      </c>
      <c r="AO31" s="31">
        <f>IFERROR(AC31*$D$7,0)</f>
        <v/>
      </c>
      <c r="AP31" s="30">
        <f>IFERROR(AD31*$H$4,0)</f>
        <v/>
      </c>
      <c r="AQ31" s="30">
        <f>IFERROR(AP31*AE31,0)</f>
        <v/>
      </c>
      <c r="AR31" s="30">
        <f>IFERROR(AQ31*AF31,0)</f>
        <v/>
      </c>
      <c r="AS31" s="31">
        <f>IFERROR(AG31*$E$7,0)</f>
        <v/>
      </c>
      <c r="AT31" s="31">
        <f>AN31*Settings!$B$10+AO31*Settings!$B$11+AR31*Settings!$B$7+AS31*Settings!$B$8+AJ31*Settings!$B$12+AK31*Settings!$B$13+AL31*Settings!$B$14</f>
        <v/>
      </c>
      <c r="AU31" s="32">
        <f>AN31*Settings!$B$10+AO31*Settings!$B$11+AR31*Settings!$B$7+AS31*Settings!$B$8+AJ31*Settings!$B$12+AK31*Settings!$B$13+AL31*Settings!$B$14+AQ31*Settings!$B$9</f>
        <v/>
      </c>
      <c r="AV31" s="31">
        <f>AN31*Settings!$B$10+AO31*Settings!$B$11+AR31*Settings!$B$7+AS31*Settings!$B$8+AJ31*Settings!$B$12+AK31*Settings!$B$13+AL31*Settings!$B$14+AQ31*Settings!$B$15</f>
        <v/>
      </c>
    </row>
    <row r="32">
      <c r="A32" s="20" t="inlineStr">
        <is>
          <t>TE</t>
        </is>
      </c>
      <c r="B32" s="21" t="inlineStr">
        <is>
          <t>Chig Okonkwo</t>
        </is>
      </c>
      <c r="C32" s="22" t="n">
        <v>1</v>
      </c>
      <c r="D32" s="22" t="inlineStr">
        <is>
          <t>26</t>
        </is>
      </c>
      <c r="E32" s="23" t="inlineStr">
        <is>
          <t>ACT</t>
        </is>
      </c>
      <c r="F32" s="24" t="inlineStr">
        <is>
          <t>TEN</t>
        </is>
      </c>
      <c r="G32" s="24" t="inlineStr">
        <is>
          <t>17</t>
        </is>
      </c>
      <c r="H32" s="25" t="n"/>
      <c r="I32" s="25" t="n"/>
      <c r="J32" s="25" t="n"/>
      <c r="K32" s="26" t="n"/>
      <c r="L32" s="25" t="n"/>
      <c r="M32" s="25" t="n"/>
      <c r="N32" s="26" t="n"/>
      <c r="O32" s="25" t="n"/>
      <c r="P32" s="25" t="n"/>
      <c r="Q32" s="25" t="n">
        <v>0.1381</v>
      </c>
      <c r="R32" s="25" t="n">
        <v>0.1491</v>
      </c>
      <c r="S32" s="25" t="n">
        <v>0.718</v>
      </c>
      <c r="T32" s="26" t="n">
        <v>9.720000000000001</v>
      </c>
      <c r="U32" s="25" t="n">
        <v>0.1042</v>
      </c>
      <c r="V32" s="25" t="n">
        <v>0.1333</v>
      </c>
      <c r="W32" s="27" t="n">
        <v>17</v>
      </c>
      <c r="X32" s="28" t="n"/>
      <c r="Y32" s="28" t="n"/>
      <c r="Z32" s="28" t="n"/>
      <c r="AA32" s="28" t="n">
        <v>0.0026</v>
      </c>
      <c r="AB32" s="29" t="n"/>
      <c r="AC32" s="28" t="n"/>
      <c r="AD32" s="28" t="n">
        <v>0.1489</v>
      </c>
      <c r="AE32" s="28" t="n">
        <v>0.7175</v>
      </c>
      <c r="AF32" s="29" t="n">
        <v>9.67</v>
      </c>
      <c r="AG32" s="28" t="n">
        <v>0.0788</v>
      </c>
      <c r="AH32" s="30">
        <f>IFERROR(X32*$F$4,0)</f>
        <v/>
      </c>
      <c r="AI32" s="30">
        <f>IFERROR(AH32*Y32,0)</f>
        <v/>
      </c>
      <c r="AJ32" s="30">
        <f>IFERROR(X32*SUM($AR$12:$AR$36),0)</f>
        <v/>
      </c>
      <c r="AK32" s="31">
        <f>IFERROR(X32*$E$7,0)</f>
        <v/>
      </c>
      <c r="AL32" s="31">
        <f>IFERROR(AH32*Z32,0)</f>
        <v/>
      </c>
      <c r="AM32" s="30">
        <f>IFERROR(AA32*$G$4,0)</f>
        <v/>
      </c>
      <c r="AN32" s="30">
        <f>IFERROR(AM32*AB32,0)</f>
        <v/>
      </c>
      <c r="AO32" s="31">
        <f>IFERROR(AC32*$D$7,0)</f>
        <v/>
      </c>
      <c r="AP32" s="30">
        <f>IFERROR(AD32*$H$4,0)</f>
        <v/>
      </c>
      <c r="AQ32" s="30">
        <f>IFERROR(AP32*AE32,0)</f>
        <v/>
      </c>
      <c r="AR32" s="30">
        <f>IFERROR(AQ32*AF32,0)</f>
        <v/>
      </c>
      <c r="AS32" s="31">
        <f>IFERROR(AG32*$E$7,0)</f>
        <v/>
      </c>
      <c r="AT32" s="31">
        <f>AN32*Settings!$B$10+AO32*Settings!$B$11+AR32*Settings!$B$7+AS32*Settings!$B$8+AJ32*Settings!$B$12+AK32*Settings!$B$13+AL32*Settings!$B$14</f>
        <v/>
      </c>
      <c r="AU32" s="32">
        <f>AN32*Settings!$B$10+AO32*Settings!$B$11+AR32*Settings!$B$7+AS32*Settings!$B$8+AJ32*Settings!$B$12+AK32*Settings!$B$13+AL32*Settings!$B$14+AQ32*Settings!$B$9</f>
        <v/>
      </c>
      <c r="AV32" s="31">
        <f>AN32*Settings!$B$10+AO32*Settings!$B$11+AR32*Settings!$B$7+AS32*Settings!$B$8+AJ32*Settings!$B$12+AK32*Settings!$B$13+AL32*Settings!$B$14+AQ32*Settings!$B$15</f>
        <v/>
      </c>
    </row>
    <row r="33">
      <c r="A33" s="33" t="inlineStr">
        <is>
          <t>TE</t>
        </is>
      </c>
      <c r="B33" s="34" t="inlineStr">
        <is>
          <t>John Bates</t>
        </is>
      </c>
      <c r="C33" s="35" t="n">
        <v>2</v>
      </c>
      <c r="D33" s="35" t="inlineStr">
        <is>
          <t>28</t>
        </is>
      </c>
      <c r="E33" s="36" t="inlineStr">
        <is>
          <t>QUESTIONABLE</t>
        </is>
      </c>
      <c r="F33" s="24" t="inlineStr">
        <is>
          <t>WAS</t>
        </is>
      </c>
      <c r="G33" s="24" t="inlineStr">
        <is>
          <t>15</t>
        </is>
      </c>
      <c r="H33" s="25" t="n">
        <v>0.48</v>
      </c>
      <c r="I33" s="25" t="n"/>
      <c r="J33" s="25" t="n"/>
      <c r="K33" s="26" t="n"/>
      <c r="L33" s="25" t="n"/>
      <c r="M33" s="25" t="n"/>
      <c r="N33" s="26" t="n"/>
      <c r="O33" s="25" t="n"/>
      <c r="P33" s="25" t="n"/>
      <c r="Q33" s="25" t="n">
        <v>0.0258</v>
      </c>
      <c r="R33" s="25" t="n">
        <v>0.037</v>
      </c>
      <c r="S33" s="25" t="n">
        <v>0.6850000000000001</v>
      </c>
      <c r="T33" s="26" t="n">
        <v>7.95</v>
      </c>
      <c r="U33" s="25" t="n">
        <v>0.0465</v>
      </c>
      <c r="V33" s="25" t="n">
        <v>0.0526</v>
      </c>
      <c r="W33" s="27" t="n">
        <v>17</v>
      </c>
      <c r="X33" s="28" t="n"/>
      <c r="Y33" s="28" t="n"/>
      <c r="Z33" s="28" t="n"/>
      <c r="AA33" s="28" t="n">
        <v>0.0009</v>
      </c>
      <c r="AB33" s="29" t="n"/>
      <c r="AC33" s="28" t="n"/>
      <c r="AD33" s="28" t="n">
        <v>0.037</v>
      </c>
      <c r="AE33" s="28" t="n">
        <v>0.6626</v>
      </c>
      <c r="AF33" s="29" t="n">
        <v>8.890000000000001</v>
      </c>
      <c r="AG33" s="28" t="n">
        <v>0.0383</v>
      </c>
      <c r="AH33" s="30">
        <f>IFERROR(X33*$F$4,0)</f>
        <v/>
      </c>
      <c r="AI33" s="30">
        <f>IFERROR(AH33*Y33,0)</f>
        <v/>
      </c>
      <c r="AJ33" s="30">
        <f>IFERROR(X33*SUM($AR$12:$AR$36),0)</f>
        <v/>
      </c>
      <c r="AK33" s="31">
        <f>IFERROR(X33*$E$7,0)</f>
        <v/>
      </c>
      <c r="AL33" s="31">
        <f>IFERROR(AH33*Z33,0)</f>
        <v/>
      </c>
      <c r="AM33" s="30">
        <f>IFERROR(AA33*$G$4,0)</f>
        <v/>
      </c>
      <c r="AN33" s="30">
        <f>IFERROR(AM33*AB33,0)</f>
        <v/>
      </c>
      <c r="AO33" s="31">
        <f>IFERROR(AC33*$D$7,0)</f>
        <v/>
      </c>
      <c r="AP33" s="30">
        <f>IFERROR(AD33*$H$4,0)</f>
        <v/>
      </c>
      <c r="AQ33" s="30">
        <f>IFERROR(AP33*AE33,0)</f>
        <v/>
      </c>
      <c r="AR33" s="30">
        <f>IFERROR(AQ33*AF33,0)</f>
        <v/>
      </c>
      <c r="AS33" s="31">
        <f>IFERROR(AG33*$E$7,0)</f>
        <v/>
      </c>
      <c r="AT33" s="31">
        <f>AN33*Settings!$B$10+AO33*Settings!$B$11+AR33*Settings!$B$7+AS33*Settings!$B$8+AJ33*Settings!$B$12+AK33*Settings!$B$13+AL33*Settings!$B$14</f>
        <v/>
      </c>
      <c r="AU33" s="32">
        <f>AN33*Settings!$B$10+AO33*Settings!$B$11+AR33*Settings!$B$7+AS33*Settings!$B$8+AJ33*Settings!$B$12+AK33*Settings!$B$13+AL33*Settings!$B$14+AQ33*Settings!$B$9</f>
        <v/>
      </c>
      <c r="AV33" s="31">
        <f>AN33*Settings!$B$10+AO33*Settings!$B$11+AR33*Settings!$B$7+AS33*Settings!$B$8+AJ33*Settings!$B$12+AK33*Settings!$B$13+AL33*Settings!$B$14+AQ33*Settings!$B$15</f>
        <v/>
      </c>
    </row>
    <row r="34">
      <c r="A34" s="20" t="inlineStr">
        <is>
          <t>TE</t>
        </is>
      </c>
      <c r="B34" s="21" t="inlineStr">
        <is>
          <t>Ben Sinnott</t>
        </is>
      </c>
      <c r="C34" s="22" t="n">
        <v>3</v>
      </c>
      <c r="D34" s="22" t="inlineStr">
        <is>
          <t>24</t>
        </is>
      </c>
      <c r="E34" s="41" t="inlineStr">
        <is>
          <t>QUESTIONABLE</t>
        </is>
      </c>
      <c r="F34" s="24" t="inlineStr">
        <is>
          <t>WAS</t>
        </is>
      </c>
      <c r="G34" s="24" t="inlineStr">
        <is>
          <t>16</t>
        </is>
      </c>
      <c r="H34" s="25" t="n">
        <v>0.325</v>
      </c>
      <c r="I34" s="25" t="n"/>
      <c r="J34" s="25" t="n"/>
      <c r="K34" s="26" t="n"/>
      <c r="L34" s="25" t="n"/>
      <c r="M34" s="25" t="n"/>
      <c r="N34" s="26" t="n"/>
      <c r="O34" s="25" t="n"/>
      <c r="P34" s="25" t="n"/>
      <c r="Q34" s="25" t="n">
        <v>0.009900000000000001</v>
      </c>
      <c r="R34" s="25" t="n">
        <v>0.0301</v>
      </c>
      <c r="S34" s="25" t="n"/>
      <c r="T34" s="26" t="n"/>
      <c r="U34" s="25" t="n">
        <v>0.0233</v>
      </c>
      <c r="V34" s="25" t="n">
        <v>0.0526</v>
      </c>
      <c r="W34" s="27" t="n">
        <v>17</v>
      </c>
      <c r="X34" s="28" t="n"/>
      <c r="Y34" s="28" t="n"/>
      <c r="Z34" s="28" t="n"/>
      <c r="AA34" s="28" t="n">
        <v>0.0009</v>
      </c>
      <c r="AB34" s="29" t="n"/>
      <c r="AC34" s="28" t="n"/>
      <c r="AD34" s="28" t="n">
        <v>0.0207</v>
      </c>
      <c r="AE34" s="28" t="n">
        <v>0.906</v>
      </c>
      <c r="AF34" s="29" t="n">
        <v>8.880000000000001</v>
      </c>
      <c r="AG34" s="28" t="n">
        <v>0.0332</v>
      </c>
      <c r="AH34" s="30">
        <f>IFERROR(X34*$F$4,0)</f>
        <v/>
      </c>
      <c r="AI34" s="30">
        <f>IFERROR(AH34*Y34,0)</f>
        <v/>
      </c>
      <c r="AJ34" s="30">
        <f>IFERROR(X34*SUM($AR$12:$AR$36),0)</f>
        <v/>
      </c>
      <c r="AK34" s="31">
        <f>IFERROR(X34*$E$7,0)</f>
        <v/>
      </c>
      <c r="AL34" s="31">
        <f>IFERROR(AH34*Z34,0)</f>
        <v/>
      </c>
      <c r="AM34" s="30">
        <f>IFERROR(AA34*$G$4,0)</f>
        <v/>
      </c>
      <c r="AN34" s="30">
        <f>IFERROR(AM34*AB34,0)</f>
        <v/>
      </c>
      <c r="AO34" s="31">
        <f>IFERROR(AC34*$D$7,0)</f>
        <v/>
      </c>
      <c r="AP34" s="30">
        <f>IFERROR(AD34*$H$4,0)</f>
        <v/>
      </c>
      <c r="AQ34" s="30">
        <f>IFERROR(AP34*AE34,0)</f>
        <v/>
      </c>
      <c r="AR34" s="30">
        <f>IFERROR(AQ34*AF34,0)</f>
        <v/>
      </c>
      <c r="AS34" s="31">
        <f>IFERROR(AG34*$E$7,0)</f>
        <v/>
      </c>
      <c r="AT34" s="31">
        <f>AN34*Settings!$B$10+AO34*Settings!$B$11+AR34*Settings!$B$7+AS34*Settings!$B$8+AJ34*Settings!$B$12+AK34*Settings!$B$13+AL34*Settings!$B$14</f>
        <v/>
      </c>
      <c r="AU34" s="32">
        <f>AN34*Settings!$B$10+AO34*Settings!$B$11+AR34*Settings!$B$7+AS34*Settings!$B$8+AJ34*Settings!$B$12+AK34*Settings!$B$13+AL34*Settings!$B$14+AQ34*Settings!$B$9</f>
        <v/>
      </c>
      <c r="AV34" s="31">
        <f>AN34*Settings!$B$10+AO34*Settings!$B$11+AR34*Settings!$B$7+AS34*Settings!$B$8+AJ34*Settings!$B$12+AK34*Settings!$B$13+AL34*Settings!$B$14+AQ34*Settings!$B$15</f>
        <v/>
      </c>
    </row>
    <row r="35">
      <c r="A35" s="33" t="inlineStr">
        <is>
          <t>TE</t>
        </is>
      </c>
      <c r="B35" s="34" t="inlineStr">
        <is>
          <t>Colson Yankoff</t>
        </is>
      </c>
      <c r="C35" s="35" t="n">
        <v>4</v>
      </c>
      <c r="D35" s="35" t="inlineStr">
        <is>
          <t>26</t>
        </is>
      </c>
      <c r="E35" s="42" t="inlineStr">
        <is>
          <t>ACT</t>
        </is>
      </c>
      <c r="F35" s="24" t="inlineStr">
        <is>
          <t>WAS</t>
        </is>
      </c>
      <c r="G35" s="24" t="inlineStr">
        <is>
          <t>14</t>
        </is>
      </c>
      <c r="H35" s="25" t="n">
        <v>0.094</v>
      </c>
      <c r="I35" s="25" t="n"/>
      <c r="J35" s="25" t="n"/>
      <c r="K35" s="26" t="n"/>
      <c r="L35" s="25" t="n"/>
      <c r="M35" s="25" t="n"/>
      <c r="N35" s="26" t="n"/>
      <c r="O35" s="25" t="n"/>
      <c r="P35" s="25" t="n"/>
      <c r="Q35" s="25" t="n"/>
      <c r="R35" s="25" t="n">
        <v>0.0069</v>
      </c>
      <c r="S35" s="25" t="n"/>
      <c r="T35" s="26" t="n"/>
      <c r="U35" s="25" t="n"/>
      <c r="V35" s="25" t="n"/>
      <c r="W35" s="27" t="n">
        <v>17</v>
      </c>
      <c r="X35" s="28" t="n"/>
      <c r="Y35" s="28" t="n"/>
      <c r="Z35" s="28" t="n"/>
      <c r="AA35" s="28" t="n">
        <v>0.0009</v>
      </c>
      <c r="AB35" s="29" t="n"/>
      <c r="AC35" s="28" t="n"/>
      <c r="AD35" s="28" t="n">
        <v>0.0072</v>
      </c>
      <c r="AE35" s="28" t="n">
        <v>0.6667</v>
      </c>
      <c r="AF35" s="29" t="n">
        <v>10.32</v>
      </c>
      <c r="AG35" s="28" t="n"/>
      <c r="AH35" s="30">
        <f>IFERROR(X35*$F$4,0)</f>
        <v/>
      </c>
      <c r="AI35" s="30">
        <f>IFERROR(AH35*Y35,0)</f>
        <v/>
      </c>
      <c r="AJ35" s="30">
        <f>IFERROR(X35*SUM($AR$12:$AR$36),0)</f>
        <v/>
      </c>
      <c r="AK35" s="31">
        <f>IFERROR(X35*$E$7,0)</f>
        <v/>
      </c>
      <c r="AL35" s="31">
        <f>IFERROR(AH35*Z35,0)</f>
        <v/>
      </c>
      <c r="AM35" s="30">
        <f>IFERROR(AA35*$G$4,0)</f>
        <v/>
      </c>
      <c r="AN35" s="30">
        <f>IFERROR(AM35*AB35,0)</f>
        <v/>
      </c>
      <c r="AO35" s="31">
        <f>IFERROR(AC35*$D$7,0)</f>
        <v/>
      </c>
      <c r="AP35" s="30">
        <f>IFERROR(AD35*$H$4,0)</f>
        <v/>
      </c>
      <c r="AQ35" s="30">
        <f>IFERROR(AP35*AE35,0)</f>
        <v/>
      </c>
      <c r="AR35" s="30">
        <f>IFERROR(AQ35*AF35,0)</f>
        <v/>
      </c>
      <c r="AS35" s="31">
        <f>IFERROR(AG35*$E$7,0)</f>
        <v/>
      </c>
      <c r="AT35" s="31">
        <f>AN35*Settings!$B$10+AO35*Settings!$B$11+AR35*Settings!$B$7+AS35*Settings!$B$8+AJ35*Settings!$B$12+AK35*Settings!$B$13+AL35*Settings!$B$14</f>
        <v/>
      </c>
      <c r="AU35" s="32">
        <f>AN35*Settings!$B$10+AO35*Settings!$B$11+AR35*Settings!$B$7+AS35*Settings!$B$8+AJ35*Settings!$B$12+AK35*Settings!$B$13+AL35*Settings!$B$14+AQ35*Settings!$B$9</f>
        <v/>
      </c>
      <c r="AV35" s="31">
        <f>AN35*Settings!$B$10+AO35*Settings!$B$11+AR35*Settings!$B$7+AS35*Settings!$B$8+AJ35*Settings!$B$12+AK35*Settings!$B$13+AL35*Settings!$B$14+AQ35*Settings!$B$15</f>
        <v/>
      </c>
    </row>
    <row r="36">
      <c r="A36" s="37" t="inlineStr">
        <is>
          <t>TE</t>
        </is>
      </c>
      <c r="B36" s="38" t="inlineStr">
        <is>
          <t>Other TEs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>
        <v>17</v>
      </c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30">
        <f>IFERROR(X36*$F$4,0)</f>
        <v/>
      </c>
      <c r="AI36" s="30">
        <f>IFERROR(AH36*Y36,0)</f>
        <v/>
      </c>
      <c r="AJ36" s="30">
        <f>IFERROR(X36*SUM($AR$12:$AR$36),0)</f>
        <v/>
      </c>
      <c r="AK36" s="31">
        <f>IFERROR(X36*$E$7,0)</f>
        <v/>
      </c>
      <c r="AL36" s="31">
        <f>IFERROR(AH36*Z36,0)</f>
        <v/>
      </c>
      <c r="AM36" s="30">
        <f>IFERROR(AA36*$G$4,0)</f>
        <v/>
      </c>
      <c r="AN36" s="30">
        <f>IFERROR(AM36*AB36,0)</f>
        <v/>
      </c>
      <c r="AO36" s="31">
        <f>IFERROR(AC36*$D$7,0)</f>
        <v/>
      </c>
      <c r="AP36" s="30">
        <f>IFERROR(AD36*$H$4,0)</f>
        <v/>
      </c>
      <c r="AQ36" s="30">
        <f>IFERROR(AP36*AE36,0)</f>
        <v/>
      </c>
      <c r="AR36" s="30">
        <f>IFERROR(AQ36*AF36,0)</f>
        <v/>
      </c>
      <c r="AS36" s="31">
        <f>IFERROR(AG36*$E$7,0)</f>
        <v/>
      </c>
      <c r="AT36" s="31">
        <f>AN36*Settings!$B$10+AO36*Settings!$B$11+AR36*Settings!$B$7+AS36*Settings!$B$8+AJ36*Settings!$B$12+AK36*Settings!$B$13+AL36*Settings!$B$14</f>
        <v/>
      </c>
      <c r="AU36" s="32">
        <f>AN36*Settings!$B$10+AO36*Settings!$B$11+AR36*Settings!$B$7+AS36*Settings!$B$8+AJ36*Settings!$B$12+AK36*Settings!$B$13+AL36*Settings!$B$14+AQ36*Settings!$B$9</f>
        <v/>
      </c>
      <c r="AV36" s="31">
        <f>AN36*Settings!$B$10+AO36*Settings!$B$11+AR36*Settings!$B$7+AS36*Settings!$B$8+AJ36*Settings!$B$12+AK36*Settings!$B$13+AL36*Settings!$B$14+AQ36*Settings!$B$15</f>
        <v/>
      </c>
    </row>
    <row r="37"/>
    <row r="38">
      <c r="A38" s="5" t="inlineStr">
        <is>
          <t>YOUR TOTAL</t>
        </is>
      </c>
      <c r="X38" s="43">
        <f>SUM(X12:X36)</f>
        <v/>
      </c>
      <c r="AA38" s="43">
        <f>SUM(AA12:AA36)</f>
        <v/>
      </c>
      <c r="AC38" s="43">
        <f>SUM(AC12:AC36)</f>
        <v/>
      </c>
      <c r="AD38" s="43">
        <f>SUM(AD12:AD36)</f>
        <v/>
      </c>
      <c r="AG38" s="43">
        <f>SUM(AG12:AG36)</f>
        <v/>
      </c>
      <c r="AH38" s="44">
        <f>SUM(AH12:AH36)</f>
        <v/>
      </c>
      <c r="AI38" s="44">
        <f>SUM(AI12:AI36)</f>
        <v/>
      </c>
      <c r="AJ38" s="44">
        <f>SUM(AJ12:AJ36)</f>
        <v/>
      </c>
      <c r="AK38" s="32">
        <f>SUM(AK12:AK36)</f>
        <v/>
      </c>
      <c r="AL38" s="32">
        <f>SUM(AL12:AL36)</f>
        <v/>
      </c>
      <c r="AM38" s="44">
        <f>SUM(AM12:AM36)</f>
        <v/>
      </c>
      <c r="AN38" s="44">
        <f>SUM(AN12:AN36)</f>
        <v/>
      </c>
      <c r="AO38" s="32">
        <f>SUM(AO12:AO36)</f>
        <v/>
      </c>
      <c r="AP38" s="44">
        <f>SUM(AP12:AP36)</f>
        <v/>
      </c>
      <c r="AQ38" s="44">
        <f>SUM(AQ12:AQ36)</f>
        <v/>
      </c>
      <c r="AR38" s="44">
        <f>SUM(AR12:AR36)</f>
        <v/>
      </c>
      <c r="AS38" s="32">
        <f>SUM(AS12:AS36)</f>
        <v/>
      </c>
      <c r="AT38" s="32">
        <f>SUM(AT12:AT36)</f>
        <v/>
      </c>
      <c r="AU38" s="32">
        <f>SUM(AU12:AU36)</f>
        <v/>
      </c>
      <c r="AV38" s="32">
        <f>SUM(AV12:AV36)</f>
        <v/>
      </c>
    </row>
    <row r="39">
      <c r="A39" s="6" t="inlineStr">
        <is>
          <t>TEAM</t>
        </is>
      </c>
      <c r="AH39" s="45">
        <f>$F$4</f>
        <v/>
      </c>
      <c r="AI39" s="45">
        <f>AQ38</f>
        <v/>
      </c>
      <c r="AJ39" s="45">
        <f>$F$7</f>
        <v/>
      </c>
      <c r="AK39" s="46">
        <f>$E$7</f>
        <v/>
      </c>
      <c r="AM39" s="45">
        <f>$G$4</f>
        <v/>
      </c>
      <c r="AN39" s="45">
        <f>$G$7</f>
        <v/>
      </c>
      <c r="AO39" s="46">
        <f>$D$7</f>
        <v/>
      </c>
      <c r="AP39" s="45">
        <f>$H$4</f>
        <v/>
      </c>
      <c r="AR39" s="45">
        <f>$H$7</f>
        <v/>
      </c>
      <c r="AS39" s="46">
        <f>$E$7</f>
        <v/>
      </c>
    </row>
    <row r="40">
      <c r="A40" s="6" t="inlineStr">
        <is>
          <t>DIFF</t>
        </is>
      </c>
      <c r="AH40" s="45">
        <f>AH38-$F$4</f>
        <v/>
      </c>
      <c r="AI40" s="45">
        <f>AI38-AQ38</f>
        <v/>
      </c>
      <c r="AJ40" s="45">
        <f>AJ38-$F$7</f>
        <v/>
      </c>
      <c r="AK40" s="46">
        <f>AK38-$E$7</f>
        <v/>
      </c>
      <c r="AM40" s="45">
        <f>AM38-$G$4</f>
        <v/>
      </c>
      <c r="AN40" s="45">
        <f>AN38-$G$7</f>
        <v/>
      </c>
      <c r="AO40" s="46">
        <f>AO38-$D$7</f>
        <v/>
      </c>
      <c r="AP40" s="45">
        <f>AP38-$H$4</f>
        <v/>
      </c>
      <c r="AR40" s="45">
        <f>AR38-$H$7</f>
        <v/>
      </c>
      <c r="AS40" s="46">
        <f>AS38-$E$7</f>
        <v/>
      </c>
    </row>
    <row r="41"/>
    <row r="42">
      <c r="B42" s="6" t="inlineStr">
        <is>
          <t>Share columns should total 100%. Attempts/targets/TDs should match TEAM closely. Yards are a guideline - within ~8% is fine.</t>
        </is>
      </c>
    </row>
  </sheetData>
  <conditionalFormatting sqref="X38">
    <cfRule type="expression" priority="1" dxfId="0" stopIfTrue="1">
      <formula>ABS(X38-1)&lt;=0.01</formula>
    </cfRule>
    <cfRule type="expression" priority="2" dxfId="1" stopIfTrue="1">
      <formula>X38&gt;1</formula>
    </cfRule>
    <cfRule type="expression" priority="3" dxfId="2">
      <formula>X38&lt;1</formula>
    </cfRule>
  </conditionalFormatting>
  <conditionalFormatting sqref="AA38">
    <cfRule type="expression" priority="4" dxfId="0" stopIfTrue="1">
      <formula>ABS(AA38-1)&lt;=0.01</formula>
    </cfRule>
    <cfRule type="expression" priority="5" dxfId="1" stopIfTrue="1">
      <formula>AA38&gt;1</formula>
    </cfRule>
    <cfRule type="expression" priority="6" dxfId="2">
      <formula>AA38&lt;1</formula>
    </cfRule>
  </conditionalFormatting>
  <conditionalFormatting sqref="AC38">
    <cfRule type="expression" priority="7" dxfId="0" stopIfTrue="1">
      <formula>ABS(AC38-1)&lt;=0.01</formula>
    </cfRule>
    <cfRule type="expression" priority="8" dxfId="1" stopIfTrue="1">
      <formula>AC38&gt;1</formula>
    </cfRule>
    <cfRule type="expression" priority="9" dxfId="2">
      <formula>AC38&lt;1</formula>
    </cfRule>
  </conditionalFormatting>
  <conditionalFormatting sqref="AD38">
    <cfRule type="expression" priority="10" dxfId="0" stopIfTrue="1">
      <formula>ABS(AD38-1)&lt;=0.01</formula>
    </cfRule>
    <cfRule type="expression" priority="11" dxfId="1" stopIfTrue="1">
      <formula>AD38&gt;1</formula>
    </cfRule>
    <cfRule type="expression" priority="12" dxfId="2">
      <formula>AD38&lt;1</formula>
    </cfRule>
  </conditionalFormatting>
  <conditionalFormatting sqref="AG38">
    <cfRule type="expression" priority="13" dxfId="0" stopIfTrue="1">
      <formula>ABS(AG38-1)&lt;=0.01</formula>
    </cfRule>
    <cfRule type="expression" priority="14" dxfId="1" stopIfTrue="1">
      <formula>AG38&gt;1</formula>
    </cfRule>
    <cfRule type="expression" priority="15" dxfId="2">
      <formula>AG38&lt;1</formula>
    </cfRule>
  </conditionalFormatting>
  <conditionalFormatting sqref="AH40">
    <cfRule type="expression" priority="16" dxfId="0" stopIfTrue="1">
      <formula>AND($F$4&gt;0,ABS(AH40/$F$4)&lt;=0.02)</formula>
    </cfRule>
    <cfRule type="expression" priority="17" dxfId="2">
      <formula>AND($F$4&gt;0,ABS(AH40/$F$4)&gt;0.02)</formula>
    </cfRule>
  </conditionalFormatting>
  <conditionalFormatting sqref="AI40">
    <cfRule type="expression" priority="18" dxfId="0" stopIfTrue="1">
      <formula>AND(AQ38&gt;0,ABS(AI40/AQ38)&lt;=0.02)</formula>
    </cfRule>
    <cfRule type="expression" priority="19" dxfId="2">
      <formula>AND(AQ38&gt;0,ABS(AI40/AQ38)&gt;0.02)</formula>
    </cfRule>
  </conditionalFormatting>
  <conditionalFormatting sqref="AJ40">
    <cfRule type="expression" priority="20" dxfId="0" stopIfTrue="1">
      <formula>AND($F$7&gt;0,ABS(AJ40/$F$7)&lt;=0.08)</formula>
    </cfRule>
    <cfRule type="expression" priority="21" dxfId="2">
      <formula>AND($F$7&gt;0,ABS(AJ40/$F$7)&gt;0.08)</formula>
    </cfRule>
  </conditionalFormatting>
  <conditionalFormatting sqref="AK40">
    <cfRule type="expression" priority="22" dxfId="0" stopIfTrue="1">
      <formula>AND($E$7&gt;0,ABS(AK40/$E$7)&lt;=0.02)</formula>
    </cfRule>
    <cfRule type="expression" priority="23" dxfId="2">
      <formula>AND($E$7&gt;0,ABS(AK40/$E$7)&gt;0.02)</formula>
    </cfRule>
  </conditionalFormatting>
  <conditionalFormatting sqref="AM40">
    <cfRule type="expression" priority="24" dxfId="0" stopIfTrue="1">
      <formula>AND($G$4&gt;0,ABS(AM40/$G$4)&lt;=0.02)</formula>
    </cfRule>
    <cfRule type="expression" priority="25" dxfId="2">
      <formula>AND($G$4&gt;0,ABS(AM40/$G$4)&gt;0.02)</formula>
    </cfRule>
  </conditionalFormatting>
  <conditionalFormatting sqref="AN40">
    <cfRule type="expression" priority="26" dxfId="0" stopIfTrue="1">
      <formula>AND($G$7&gt;0,ABS(AN40/$G$7)&lt;=0.08)</formula>
    </cfRule>
    <cfRule type="expression" priority="27" dxfId="2">
      <formula>AND($G$7&gt;0,ABS(AN40/$G$7)&gt;0.08)</formula>
    </cfRule>
  </conditionalFormatting>
  <conditionalFormatting sqref="AO40">
    <cfRule type="expression" priority="28" dxfId="0" stopIfTrue="1">
      <formula>AND($D$7&gt;0,ABS(AO40/$D$7)&lt;=0.02)</formula>
    </cfRule>
    <cfRule type="expression" priority="29" dxfId="2">
      <formula>AND($D$7&gt;0,ABS(AO40/$D$7)&gt;0.02)</formula>
    </cfRule>
  </conditionalFormatting>
  <conditionalFormatting sqref="AP40">
    <cfRule type="expression" priority="30" dxfId="0" stopIfTrue="1">
      <formula>AND($H$4&gt;0,ABS(AP40/$H$4)&lt;=0.02)</formula>
    </cfRule>
    <cfRule type="expression" priority="31" dxfId="2">
      <formula>AND($H$4&gt;0,ABS(AP40/$H$4)&gt;0.02)</formula>
    </cfRule>
  </conditionalFormatting>
  <conditionalFormatting sqref="AR40">
    <cfRule type="expression" priority="32" dxfId="0" stopIfTrue="1">
      <formula>AND($H$7&gt;0,ABS(AR40/$H$7)&lt;=0.08)</formula>
    </cfRule>
    <cfRule type="expression" priority="33" dxfId="2">
      <formula>AND($H$7&gt;0,ABS(AR40/$H$7)&gt;0.08)</formula>
    </cfRule>
  </conditionalFormatting>
  <conditionalFormatting sqref="AS40">
    <cfRule type="expression" priority="34" dxfId="0" stopIfTrue="1">
      <formula>AND($E$7&gt;0,ABS(AS40/$E$7)&lt;=0.02)</formula>
    </cfRule>
    <cfRule type="expression" priority="35" dxfId="2">
      <formula>AND($E$7&gt;0,ABS(AS40/$E$7)&gt;0.02)</formula>
    </cfRule>
  </conditionalFormatting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62" customWidth="1" min="3" max="3"/>
  </cols>
  <sheetData>
    <row r="1">
      <c r="A1" s="47" t="inlineStr">
        <is>
          <t>SETTINGS</t>
        </is>
      </c>
    </row>
    <row r="2"/>
    <row r="3">
      <c r="A3" s="5" t="inlineStr">
        <is>
          <t>Games in season</t>
        </is>
      </c>
      <c r="B3" s="48" t="n">
        <v>17</v>
      </c>
      <c r="C3" s="6" t="inlineStr"/>
    </row>
    <row r="4">
      <c r="A4" s="5" t="inlineStr">
        <is>
          <t>Target rate</t>
        </is>
      </c>
      <c r="B4" s="49" t="n">
        <v>0.954</v>
      </c>
      <c r="C4" s="6" t="inlineStr">
        <is>
          <t>targets per pass attempt - the gap is throwaways/spikes/bats</t>
        </is>
      </c>
    </row>
    <row r="5"/>
    <row r="6">
      <c r="A6" s="5" t="inlineStr">
        <is>
          <t>SCORING</t>
        </is>
      </c>
      <c r="C6" s="6" t="inlineStr">
        <is>
          <t>one definition, used by all three columns</t>
        </is>
      </c>
    </row>
    <row r="7">
      <c r="A7" s="5" t="inlineStr">
        <is>
          <t>Pts / rec yard</t>
        </is>
      </c>
      <c r="B7" s="49" t="n">
        <v>0.1</v>
      </c>
      <c r="C7" s="6" t="inlineStr"/>
    </row>
    <row r="8">
      <c r="A8" s="5" t="inlineStr">
        <is>
          <t>Pts / rec TD</t>
        </is>
      </c>
      <c r="B8" s="48" t="n">
        <v>6</v>
      </c>
      <c r="C8" s="6" t="inlineStr"/>
    </row>
    <row r="9">
      <c r="A9" s="5" t="inlineStr">
        <is>
          <t>Pts / reception (Half)</t>
        </is>
      </c>
      <c r="B9" s="49" t="n">
        <v>0.5</v>
      </c>
      <c r="C9" s="6" t="inlineStr"/>
    </row>
    <row r="10">
      <c r="A10" s="5" t="inlineStr">
        <is>
          <t>Pts / rush yard</t>
        </is>
      </c>
      <c r="B10" s="49" t="n">
        <v>0.1</v>
      </c>
      <c r="C10" s="6" t="inlineStr"/>
    </row>
    <row r="11">
      <c r="A11" s="5" t="inlineStr">
        <is>
          <t>Pts / rush TD</t>
        </is>
      </c>
      <c r="B11" s="48" t="n">
        <v>6</v>
      </c>
      <c r="C11" s="6" t="inlineStr"/>
    </row>
    <row r="12">
      <c r="A12" s="5" t="inlineStr">
        <is>
          <t>Pts / pass yard</t>
        </is>
      </c>
      <c r="B12" s="49" t="n">
        <v>0.04</v>
      </c>
      <c r="C12" s="6" t="inlineStr"/>
    </row>
    <row r="13">
      <c r="A13" s="5" t="inlineStr">
        <is>
          <t>Pts / pass TD</t>
        </is>
      </c>
      <c r="B13" s="48" t="n">
        <v>4</v>
      </c>
      <c r="C13" s="6" t="inlineStr"/>
    </row>
    <row r="14">
      <c r="A14" s="5" t="inlineStr">
        <is>
          <t>Pts / INT</t>
        </is>
      </c>
      <c r="B14" s="48" t="n">
        <v>-2</v>
      </c>
      <c r="C14" s="6" t="inlineStr">
        <is>
          <t>negative</t>
        </is>
      </c>
    </row>
    <row r="15">
      <c r="A15" s="5" t="inlineStr">
        <is>
          <t>Pts / reception (PPR)</t>
        </is>
      </c>
      <c r="B15" s="49" t="n">
        <v>1</v>
      </c>
      <c r="C1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2026-08-31T17:16:08Z</dcterms:created>
  <dcterms:modified xmlns:dcterms="http://purl.org/dc/terms/" xmlns:xsi="http://www.w3.org/2001/XMLSchema-instance" xsi:type="dcterms:W3CDTF">2026-08-31T17:16:11Z</dcterms:modified>
</cp:coreProperties>
</file>